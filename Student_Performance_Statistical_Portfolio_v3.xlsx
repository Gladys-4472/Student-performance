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CA9ABE98-A679-47E5-AB29-AB77701D5F51}" xr6:coauthVersionLast="47" xr6:coauthVersionMax="47" xr10:uidLastSave="{00000000-0000-0000-0000-000000000000}"/>
  <bookViews>
    <workbookView xWindow="-120" yWindow="-120" windowWidth="20730" windowHeight="11040" activeTab="1" xr2:uid="{322BAB21-287E-49B4-92A4-AAC4AABF33F8}"/>
  </bookViews>
  <sheets>
    <sheet name="Sheet1" sheetId="9" r:id="rId1"/>
    <sheet name="Student_Performance_Statistical" sheetId="1" r:id="rId2"/>
    <sheet name="T- test" sheetId="5" r:id="rId3"/>
    <sheet name="ANOVA" sheetId="6" r:id="rId4"/>
    <sheet name="Regression analysis" sheetId="8" r:id="rId5"/>
    <sheet name="Sheet2" sheetId="4" r:id="rId6"/>
    <sheet name="Correction analysis=" sheetId="3" r:id="rId7"/>
    <sheet name="Descriptive Summary" sheetId="2" r:id="rId8"/>
  </sheets>
  <definedNames>
    <definedName name="Slicer_Gender">#N/A</definedName>
    <definedName name="Slicer_Parental_Education_Level">#N/A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C7" i="3"/>
  <c r="C6" i="3"/>
  <c r="C5" i="3"/>
  <c r="C4" i="3"/>
  <c r="C3" i="3"/>
  <c r="C2" i="3"/>
  <c r="E6" i="2"/>
  <c r="E5" i="2"/>
  <c r="E4" i="2"/>
  <c r="E3" i="2"/>
  <c r="E2" i="2"/>
  <c r="G6" i="2"/>
  <c r="F6" i="2"/>
  <c r="G5" i="2"/>
  <c r="F5" i="2"/>
  <c r="G4" i="2"/>
  <c r="F4" i="2"/>
  <c r="G3" i="2"/>
  <c r="F3" i="2"/>
  <c r="G2" i="2"/>
  <c r="F2" i="2"/>
  <c r="D6" i="2"/>
  <c r="D5" i="2"/>
  <c r="D4" i="2"/>
  <c r="D3" i="2"/>
  <c r="D2" i="2"/>
  <c r="C6" i="2"/>
  <c r="C5" i="2"/>
  <c r="C4" i="2"/>
  <c r="C3" i="2"/>
  <c r="C2" i="2"/>
  <c r="B6" i="2"/>
  <c r="B5" i="2"/>
  <c r="B4" i="2"/>
  <c r="B3" i="2"/>
  <c r="B2" i="2"/>
</calcChain>
</file>

<file path=xl/sharedStrings.xml><?xml version="1.0" encoding="utf-8"?>
<sst xmlns="http://schemas.openxmlformats.org/spreadsheetml/2006/main" count="3756" uniqueCount="727">
  <si>
    <t>Student_ID</t>
  </si>
  <si>
    <t>Gender</t>
  </si>
  <si>
    <t>Age</t>
  </si>
  <si>
    <t>Study_Hours_Per_Week</t>
  </si>
  <si>
    <t>Attendance_Rate</t>
  </si>
  <si>
    <t>Parental_Education_Level</t>
  </si>
  <si>
    <t>Family_Income_Level</t>
  </si>
  <si>
    <t>Internet_Access</t>
  </si>
  <si>
    <t>Previous_Grade</t>
  </si>
  <si>
    <t>Sleep_Hours_Per_Night</t>
  </si>
  <si>
    <t>Final_Exam_Score</t>
  </si>
  <si>
    <t>Extracurricular_Participation</t>
  </si>
  <si>
    <t>STD-2000</t>
  </si>
  <si>
    <t>Male</t>
  </si>
  <si>
    <t>Diploma</t>
  </si>
  <si>
    <t>Low</t>
  </si>
  <si>
    <t>Yes</t>
  </si>
  <si>
    <t>STD-2001</t>
  </si>
  <si>
    <t>Female</t>
  </si>
  <si>
    <t>High School</t>
  </si>
  <si>
    <t>STD-2002</t>
  </si>
  <si>
    <t>STD-2003</t>
  </si>
  <si>
    <t>Master</t>
  </si>
  <si>
    <t>Middle</t>
  </si>
  <si>
    <t>No</t>
  </si>
  <si>
    <t>STD-2004</t>
  </si>
  <si>
    <t>High</t>
  </si>
  <si>
    <t>STD-2005</t>
  </si>
  <si>
    <t>Bachelor</t>
  </si>
  <si>
    <t>STD-2006</t>
  </si>
  <si>
    <t>STD-2007</t>
  </si>
  <si>
    <t>STD-2008</t>
  </si>
  <si>
    <t>PhD</t>
  </si>
  <si>
    <t>STD-2009</t>
  </si>
  <si>
    <t>STD-2010</t>
  </si>
  <si>
    <t>STD-2011</t>
  </si>
  <si>
    <t>STD-2012</t>
  </si>
  <si>
    <t>STD-2013</t>
  </si>
  <si>
    <t>STD-2014</t>
  </si>
  <si>
    <t>STD-2015</t>
  </si>
  <si>
    <t>STD-2016</t>
  </si>
  <si>
    <t>STD-2017</t>
  </si>
  <si>
    <t>STD-2018</t>
  </si>
  <si>
    <t>STD-2019</t>
  </si>
  <si>
    <t>STD-2020</t>
  </si>
  <si>
    <t>STD-2021</t>
  </si>
  <si>
    <t>STD-2022</t>
  </si>
  <si>
    <t>STD-2023</t>
  </si>
  <si>
    <t>STD-2024</t>
  </si>
  <si>
    <t>STD-2025</t>
  </si>
  <si>
    <t>STD-2026</t>
  </si>
  <si>
    <t>STD-2027</t>
  </si>
  <si>
    <t>STD-2028</t>
  </si>
  <si>
    <t>STD-2029</t>
  </si>
  <si>
    <t>STD-2030</t>
  </si>
  <si>
    <t>STD-2031</t>
  </si>
  <si>
    <t>STD-2032</t>
  </si>
  <si>
    <t>STD-2033</t>
  </si>
  <si>
    <t>STD-2034</t>
  </si>
  <si>
    <t>STD-2035</t>
  </si>
  <si>
    <t>STD-2036</t>
  </si>
  <si>
    <t>STD-2037</t>
  </si>
  <si>
    <t>STD-2038</t>
  </si>
  <si>
    <t>STD-2039</t>
  </si>
  <si>
    <t>STD-2040</t>
  </si>
  <si>
    <t>STD-2041</t>
  </si>
  <si>
    <t>STD-2042</t>
  </si>
  <si>
    <t>STD-2043</t>
  </si>
  <si>
    <t>STD-2044</t>
  </si>
  <si>
    <t>STD-2045</t>
  </si>
  <si>
    <t>STD-2046</t>
  </si>
  <si>
    <t>STD-2047</t>
  </si>
  <si>
    <t>STD-2048</t>
  </si>
  <si>
    <t>STD-2049</t>
  </si>
  <si>
    <t>STD-2050</t>
  </si>
  <si>
    <t>STD-2051</t>
  </si>
  <si>
    <t>STD-2052</t>
  </si>
  <si>
    <t>STD-2053</t>
  </si>
  <si>
    <t>STD-2054</t>
  </si>
  <si>
    <t>STD-2055</t>
  </si>
  <si>
    <t>STD-2056</t>
  </si>
  <si>
    <t>STD-2057</t>
  </si>
  <si>
    <t>STD-2058</t>
  </si>
  <si>
    <t>STD-2059</t>
  </si>
  <si>
    <t>STD-2060</t>
  </si>
  <si>
    <t>STD-2061</t>
  </si>
  <si>
    <t>STD-2062</t>
  </si>
  <si>
    <t>STD-2063</t>
  </si>
  <si>
    <t>STD-2064</t>
  </si>
  <si>
    <t>STD-2065</t>
  </si>
  <si>
    <t>STD-2066</t>
  </si>
  <si>
    <t>STD-2067</t>
  </si>
  <si>
    <t>STD-2068</t>
  </si>
  <si>
    <t>STD-2069</t>
  </si>
  <si>
    <t>STD-2070</t>
  </si>
  <si>
    <t>STD-2071</t>
  </si>
  <si>
    <t>STD-2072</t>
  </si>
  <si>
    <t>STD-2073</t>
  </si>
  <si>
    <t>STD-2074</t>
  </si>
  <si>
    <t>STD-2075</t>
  </si>
  <si>
    <t>STD-2076</t>
  </si>
  <si>
    <t>STD-2077</t>
  </si>
  <si>
    <t>STD-2078</t>
  </si>
  <si>
    <t>STD-2079</t>
  </si>
  <si>
    <t>STD-2080</t>
  </si>
  <si>
    <t>STD-2081</t>
  </si>
  <si>
    <t>STD-2082</t>
  </si>
  <si>
    <t>STD-2083</t>
  </si>
  <si>
    <t>STD-2084</t>
  </si>
  <si>
    <t>STD-2085</t>
  </si>
  <si>
    <t>STD-2086</t>
  </si>
  <si>
    <t>STD-2087</t>
  </si>
  <si>
    <t>STD-2088</t>
  </si>
  <si>
    <t>STD-2089</t>
  </si>
  <si>
    <t>STD-2090</t>
  </si>
  <si>
    <t>STD-2091</t>
  </si>
  <si>
    <t>STD-2092</t>
  </si>
  <si>
    <t>STD-2093</t>
  </si>
  <si>
    <t>STD-2094</t>
  </si>
  <si>
    <t>STD-2095</t>
  </si>
  <si>
    <t>STD-2096</t>
  </si>
  <si>
    <t>STD-2097</t>
  </si>
  <si>
    <t>STD-2098</t>
  </si>
  <si>
    <t>STD-2099</t>
  </si>
  <si>
    <t>STD-2100</t>
  </si>
  <si>
    <t>STD-2101</t>
  </si>
  <si>
    <t>STD-2102</t>
  </si>
  <si>
    <t>STD-2103</t>
  </si>
  <si>
    <t>STD-2104</t>
  </si>
  <si>
    <t>STD-2105</t>
  </si>
  <si>
    <t>STD-2106</t>
  </si>
  <si>
    <t>STD-2107</t>
  </si>
  <si>
    <t>STD-2108</t>
  </si>
  <si>
    <t>STD-2109</t>
  </si>
  <si>
    <t>STD-2110</t>
  </si>
  <si>
    <t>STD-2111</t>
  </si>
  <si>
    <t>STD-2112</t>
  </si>
  <si>
    <t>STD-2113</t>
  </si>
  <si>
    <t>STD-2114</t>
  </si>
  <si>
    <t>STD-2115</t>
  </si>
  <si>
    <t>STD-2116</t>
  </si>
  <si>
    <t>STD-2117</t>
  </si>
  <si>
    <t>STD-2118</t>
  </si>
  <si>
    <t>STD-2119</t>
  </si>
  <si>
    <t>STD-2120</t>
  </si>
  <si>
    <t>STD-2121</t>
  </si>
  <si>
    <t>STD-2122</t>
  </si>
  <si>
    <t>STD-2123</t>
  </si>
  <si>
    <t>STD-2124</t>
  </si>
  <si>
    <t>STD-2125</t>
  </si>
  <si>
    <t>STD-2126</t>
  </si>
  <si>
    <t>STD-2127</t>
  </si>
  <si>
    <t>STD-2128</t>
  </si>
  <si>
    <t>STD-2129</t>
  </si>
  <si>
    <t>STD-2130</t>
  </si>
  <si>
    <t>STD-2131</t>
  </si>
  <si>
    <t>STD-2132</t>
  </si>
  <si>
    <t>STD-2133</t>
  </si>
  <si>
    <t>STD-2134</t>
  </si>
  <si>
    <t>STD-2135</t>
  </si>
  <si>
    <t>STD-2136</t>
  </si>
  <si>
    <t>STD-2137</t>
  </si>
  <si>
    <t>STD-2138</t>
  </si>
  <si>
    <t>STD-2139</t>
  </si>
  <si>
    <t>STD-2140</t>
  </si>
  <si>
    <t>STD-2141</t>
  </si>
  <si>
    <t>STD-2142</t>
  </si>
  <si>
    <t>STD-2143</t>
  </si>
  <si>
    <t>STD-2144</t>
  </si>
  <si>
    <t>STD-2145</t>
  </si>
  <si>
    <t>STD-2146</t>
  </si>
  <si>
    <t>STD-2147</t>
  </si>
  <si>
    <t>STD-2148</t>
  </si>
  <si>
    <t>STD-2149</t>
  </si>
  <si>
    <t>STD-2150</t>
  </si>
  <si>
    <t>STD-2151</t>
  </si>
  <si>
    <t>STD-2152</t>
  </si>
  <si>
    <t>STD-2153</t>
  </si>
  <si>
    <t>STD-2154</t>
  </si>
  <si>
    <t>STD-2155</t>
  </si>
  <si>
    <t>STD-2156</t>
  </si>
  <si>
    <t>STD-2157</t>
  </si>
  <si>
    <t>STD-2158</t>
  </si>
  <si>
    <t>STD-2159</t>
  </si>
  <si>
    <t>STD-2160</t>
  </si>
  <si>
    <t>STD-2161</t>
  </si>
  <si>
    <t>STD-2162</t>
  </si>
  <si>
    <t>STD-2163</t>
  </si>
  <si>
    <t>STD-2164</t>
  </si>
  <si>
    <t>STD-2165</t>
  </si>
  <si>
    <t>STD-2166</t>
  </si>
  <si>
    <t>STD-2167</t>
  </si>
  <si>
    <t>STD-2168</t>
  </si>
  <si>
    <t>STD-2169</t>
  </si>
  <si>
    <t>STD-2170</t>
  </si>
  <si>
    <t>STD-2171</t>
  </si>
  <si>
    <t>STD-2172</t>
  </si>
  <si>
    <t>STD-2173</t>
  </si>
  <si>
    <t>STD-2174</t>
  </si>
  <si>
    <t>STD-2175</t>
  </si>
  <si>
    <t>STD-2176</t>
  </si>
  <si>
    <t>STD-2177</t>
  </si>
  <si>
    <t>STD-2178</t>
  </si>
  <si>
    <t>STD-2179</t>
  </si>
  <si>
    <t>STD-2180</t>
  </si>
  <si>
    <t>STD-2181</t>
  </si>
  <si>
    <t>STD-2182</t>
  </si>
  <si>
    <t>STD-2183</t>
  </si>
  <si>
    <t>STD-2184</t>
  </si>
  <si>
    <t>STD-2185</t>
  </si>
  <si>
    <t>STD-2186</t>
  </si>
  <si>
    <t>STD-2187</t>
  </si>
  <si>
    <t>STD-2188</t>
  </si>
  <si>
    <t>STD-2189</t>
  </si>
  <si>
    <t>STD-2190</t>
  </si>
  <si>
    <t>STD-2191</t>
  </si>
  <si>
    <t>STD-2192</t>
  </si>
  <si>
    <t>STD-2193</t>
  </si>
  <si>
    <t>STD-2194</t>
  </si>
  <si>
    <t>STD-2195</t>
  </si>
  <si>
    <t>STD-2196</t>
  </si>
  <si>
    <t>STD-2197</t>
  </si>
  <si>
    <t>STD-2198</t>
  </si>
  <si>
    <t>STD-2199</t>
  </si>
  <si>
    <t>STD-2200</t>
  </si>
  <si>
    <t>STD-2201</t>
  </si>
  <si>
    <t>STD-2202</t>
  </si>
  <si>
    <t>STD-2203</t>
  </si>
  <si>
    <t>STD-2204</t>
  </si>
  <si>
    <t>STD-2205</t>
  </si>
  <si>
    <t>STD-2206</t>
  </si>
  <si>
    <t>STD-2207</t>
  </si>
  <si>
    <t>STD-2208</t>
  </si>
  <si>
    <t>STD-2209</t>
  </si>
  <si>
    <t>STD-2210</t>
  </si>
  <si>
    <t>STD-2211</t>
  </si>
  <si>
    <t>STD-2212</t>
  </si>
  <si>
    <t>STD-2213</t>
  </si>
  <si>
    <t>STD-2214</t>
  </si>
  <si>
    <t>STD-2215</t>
  </si>
  <si>
    <t>STD-2216</t>
  </si>
  <si>
    <t>STD-2217</t>
  </si>
  <si>
    <t>STD-2218</t>
  </si>
  <si>
    <t>STD-2219</t>
  </si>
  <si>
    <t>STD-2220</t>
  </si>
  <si>
    <t>STD-2221</t>
  </si>
  <si>
    <t>STD-2222</t>
  </si>
  <si>
    <t>STD-2223</t>
  </si>
  <si>
    <t>STD-2224</t>
  </si>
  <si>
    <t>STD-2225</t>
  </si>
  <si>
    <t>STD-2226</t>
  </si>
  <si>
    <t>STD-2227</t>
  </si>
  <si>
    <t>STD-2228</t>
  </si>
  <si>
    <t>STD-2229</t>
  </si>
  <si>
    <t>STD-2230</t>
  </si>
  <si>
    <t>STD-2231</t>
  </si>
  <si>
    <t>STD-2232</t>
  </si>
  <si>
    <t>STD-2233</t>
  </si>
  <si>
    <t>STD-2234</t>
  </si>
  <si>
    <t>STD-2235</t>
  </si>
  <si>
    <t>STD-2236</t>
  </si>
  <si>
    <t>STD-2237</t>
  </si>
  <si>
    <t>STD-2238</t>
  </si>
  <si>
    <t>STD-2239</t>
  </si>
  <si>
    <t>STD-2240</t>
  </si>
  <si>
    <t>STD-2241</t>
  </si>
  <si>
    <t>STD-2242</t>
  </si>
  <si>
    <t>STD-2243</t>
  </si>
  <si>
    <t>STD-2244</t>
  </si>
  <si>
    <t>STD-2245</t>
  </si>
  <si>
    <t>STD-2246</t>
  </si>
  <si>
    <t>STD-2247</t>
  </si>
  <si>
    <t>STD-2248</t>
  </si>
  <si>
    <t>STD-2249</t>
  </si>
  <si>
    <t>STD-2250</t>
  </si>
  <si>
    <t>STD-2251</t>
  </si>
  <si>
    <t>STD-2252</t>
  </si>
  <si>
    <t>STD-2253</t>
  </si>
  <si>
    <t>STD-2254</t>
  </si>
  <si>
    <t>STD-2255</t>
  </si>
  <si>
    <t>STD-2256</t>
  </si>
  <si>
    <t>STD-2257</t>
  </si>
  <si>
    <t>STD-2258</t>
  </si>
  <si>
    <t>STD-2259</t>
  </si>
  <si>
    <t>STD-2260</t>
  </si>
  <si>
    <t>STD-2261</t>
  </si>
  <si>
    <t>STD-2262</t>
  </si>
  <si>
    <t>STD-2263</t>
  </si>
  <si>
    <t>STD-2264</t>
  </si>
  <si>
    <t>STD-2265</t>
  </si>
  <si>
    <t>STD-2266</t>
  </si>
  <si>
    <t>STD-2267</t>
  </si>
  <si>
    <t>STD-2268</t>
  </si>
  <si>
    <t>STD-2269</t>
  </si>
  <si>
    <t>STD-2270</t>
  </si>
  <si>
    <t>STD-2271</t>
  </si>
  <si>
    <t>STD-2272</t>
  </si>
  <si>
    <t>STD-2273</t>
  </si>
  <si>
    <t>STD-2274</t>
  </si>
  <si>
    <t>STD-2275</t>
  </si>
  <si>
    <t>STD-2276</t>
  </si>
  <si>
    <t>STD-2277</t>
  </si>
  <si>
    <t>STD-2278</t>
  </si>
  <si>
    <t>STD-2279</t>
  </si>
  <si>
    <t>STD-2280</t>
  </si>
  <si>
    <t>STD-2281</t>
  </si>
  <si>
    <t>STD-2282</t>
  </si>
  <si>
    <t>STD-2283</t>
  </si>
  <si>
    <t>STD-2284</t>
  </si>
  <si>
    <t>STD-2285</t>
  </si>
  <si>
    <t>STD-2286</t>
  </si>
  <si>
    <t>STD-2287</t>
  </si>
  <si>
    <t>STD-2288</t>
  </si>
  <si>
    <t>STD-2289</t>
  </si>
  <si>
    <t>STD-2290</t>
  </si>
  <si>
    <t>STD-2291</t>
  </si>
  <si>
    <t>STD-2292</t>
  </si>
  <si>
    <t>STD-2293</t>
  </si>
  <si>
    <t>STD-2294</t>
  </si>
  <si>
    <t>STD-2295</t>
  </si>
  <si>
    <t>STD-2296</t>
  </si>
  <si>
    <t>STD-2297</t>
  </si>
  <si>
    <t>STD-2298</t>
  </si>
  <si>
    <t>STD-2299</t>
  </si>
  <si>
    <t>STD-2300</t>
  </si>
  <si>
    <t>STD-2301</t>
  </si>
  <si>
    <t>STD-2302</t>
  </si>
  <si>
    <t>STD-2303</t>
  </si>
  <si>
    <t>STD-2304</t>
  </si>
  <si>
    <t>STD-2305</t>
  </si>
  <si>
    <t>STD-2306</t>
  </si>
  <si>
    <t>STD-2307</t>
  </si>
  <si>
    <t>STD-2308</t>
  </si>
  <si>
    <t>STD-2309</t>
  </si>
  <si>
    <t>STD-2310</t>
  </si>
  <si>
    <t>STD-2311</t>
  </si>
  <si>
    <t>STD-2312</t>
  </si>
  <si>
    <t>STD-2313</t>
  </si>
  <si>
    <t>STD-2314</t>
  </si>
  <si>
    <t>STD-2315</t>
  </si>
  <si>
    <t>STD-2316</t>
  </si>
  <si>
    <t>STD-2317</t>
  </si>
  <si>
    <t>STD-2318</t>
  </si>
  <si>
    <t>STD-2319</t>
  </si>
  <si>
    <t>STD-2320</t>
  </si>
  <si>
    <t>STD-2321</t>
  </si>
  <si>
    <t>STD-2322</t>
  </si>
  <si>
    <t>STD-2323</t>
  </si>
  <si>
    <t>STD-2324</t>
  </si>
  <si>
    <t>STD-2325</t>
  </si>
  <si>
    <t>STD-2326</t>
  </si>
  <si>
    <t>STD-2327</t>
  </si>
  <si>
    <t>STD-2328</t>
  </si>
  <si>
    <t>STD-2329</t>
  </si>
  <si>
    <t>STD-2330</t>
  </si>
  <si>
    <t>STD-2331</t>
  </si>
  <si>
    <t>STD-2332</t>
  </si>
  <si>
    <t>STD-2333</t>
  </si>
  <si>
    <t>STD-2334</t>
  </si>
  <si>
    <t>STD-2335</t>
  </si>
  <si>
    <t>STD-2336</t>
  </si>
  <si>
    <t>STD-2337</t>
  </si>
  <si>
    <t>STD-2338</t>
  </si>
  <si>
    <t>STD-2339</t>
  </si>
  <si>
    <t>STD-2340</t>
  </si>
  <si>
    <t>STD-2341</t>
  </si>
  <si>
    <t>STD-2342</t>
  </si>
  <si>
    <t>STD-2343</t>
  </si>
  <si>
    <t>STD-2344</t>
  </si>
  <si>
    <t>STD-2345</t>
  </si>
  <si>
    <t>STD-2346</t>
  </si>
  <si>
    <t>STD-2347</t>
  </si>
  <si>
    <t>STD-2348</t>
  </si>
  <si>
    <t>STD-2349</t>
  </si>
  <si>
    <t>STD-2350</t>
  </si>
  <si>
    <t>STD-2351</t>
  </si>
  <si>
    <t>STD-2352</t>
  </si>
  <si>
    <t>STD-2353</t>
  </si>
  <si>
    <t>STD-2354</t>
  </si>
  <si>
    <t>STD-2355</t>
  </si>
  <si>
    <t>STD-2356</t>
  </si>
  <si>
    <t>STD-2357</t>
  </si>
  <si>
    <t>STD-2358</t>
  </si>
  <si>
    <t>STD-2359</t>
  </si>
  <si>
    <t>STD-2360</t>
  </si>
  <si>
    <t>STD-2361</t>
  </si>
  <si>
    <t>STD-2362</t>
  </si>
  <si>
    <t>STD-2363</t>
  </si>
  <si>
    <t>STD-2364</t>
  </si>
  <si>
    <t>STD-2365</t>
  </si>
  <si>
    <t>STD-2366</t>
  </si>
  <si>
    <t>STD-2367</t>
  </si>
  <si>
    <t>STD-2368</t>
  </si>
  <si>
    <t>STD-2369</t>
  </si>
  <si>
    <t>STD-2370</t>
  </si>
  <si>
    <t>STD-2371</t>
  </si>
  <si>
    <t>STD-2372</t>
  </si>
  <si>
    <t>STD-2373</t>
  </si>
  <si>
    <t>STD-2374</t>
  </si>
  <si>
    <t>STD-2375</t>
  </si>
  <si>
    <t>STD-2376</t>
  </si>
  <si>
    <t>STD-2377</t>
  </si>
  <si>
    <t>STD-2378</t>
  </si>
  <si>
    <t>STD-2379</t>
  </si>
  <si>
    <t>STD-2380</t>
  </si>
  <si>
    <t>STD-2381</t>
  </si>
  <si>
    <t>STD-2382</t>
  </si>
  <si>
    <t>STD-2383</t>
  </si>
  <si>
    <t>STD-2384</t>
  </si>
  <si>
    <t>STD-2385</t>
  </si>
  <si>
    <t>STD-2386</t>
  </si>
  <si>
    <t>STD-2387</t>
  </si>
  <si>
    <t>STD-2388</t>
  </si>
  <si>
    <t>STD-2389</t>
  </si>
  <si>
    <t>STD-2390</t>
  </si>
  <si>
    <t>STD-2391</t>
  </si>
  <si>
    <t>STD-2392</t>
  </si>
  <si>
    <t>STD-2393</t>
  </si>
  <si>
    <t>STD-2394</t>
  </si>
  <si>
    <t>STD-2395</t>
  </si>
  <si>
    <t>STD-2396</t>
  </si>
  <si>
    <t>STD-2397</t>
  </si>
  <si>
    <t>STD-2398</t>
  </si>
  <si>
    <t>STD-2399</t>
  </si>
  <si>
    <t>STD-2400</t>
  </si>
  <si>
    <t>STD-2401</t>
  </si>
  <si>
    <t>STD-2402</t>
  </si>
  <si>
    <t>STD-2403</t>
  </si>
  <si>
    <t>STD-2404</t>
  </si>
  <si>
    <t>STD-2405</t>
  </si>
  <si>
    <t>STD-2406</t>
  </si>
  <si>
    <t>STD-2407</t>
  </si>
  <si>
    <t>STD-2408</t>
  </si>
  <si>
    <t>STD-2409</t>
  </si>
  <si>
    <t>STD-2410</t>
  </si>
  <si>
    <t>STD-2411</t>
  </si>
  <si>
    <t>STD-2412</t>
  </si>
  <si>
    <t>STD-2413</t>
  </si>
  <si>
    <t>STD-2414</t>
  </si>
  <si>
    <t>STD-2415</t>
  </si>
  <si>
    <t>STD-2416</t>
  </si>
  <si>
    <t>STD-2417</t>
  </si>
  <si>
    <t>STD-2418</t>
  </si>
  <si>
    <t>STD-2419</t>
  </si>
  <si>
    <t>STD-2420</t>
  </si>
  <si>
    <t>STD-2421</t>
  </si>
  <si>
    <t>STD-2422</t>
  </si>
  <si>
    <t>STD-2423</t>
  </si>
  <si>
    <t>STD-2424</t>
  </si>
  <si>
    <t>STD-2425</t>
  </si>
  <si>
    <t>STD-2426</t>
  </si>
  <si>
    <t>STD-2427</t>
  </si>
  <si>
    <t>STD-2428</t>
  </si>
  <si>
    <t>STD-2429</t>
  </si>
  <si>
    <t>STD-2430</t>
  </si>
  <si>
    <t>STD-2431</t>
  </si>
  <si>
    <t>STD-2432</t>
  </si>
  <si>
    <t>STD-2433</t>
  </si>
  <si>
    <t>STD-2434</t>
  </si>
  <si>
    <t>STD-2435</t>
  </si>
  <si>
    <t>STD-2436</t>
  </si>
  <si>
    <t>STD-2437</t>
  </si>
  <si>
    <t>STD-2438</t>
  </si>
  <si>
    <t>STD-2439</t>
  </si>
  <si>
    <t>STD-2440</t>
  </si>
  <si>
    <t>STD-2441</t>
  </si>
  <si>
    <t>STD-2442</t>
  </si>
  <si>
    <t>STD-2443</t>
  </si>
  <si>
    <t>STD-2444</t>
  </si>
  <si>
    <t>STD-2445</t>
  </si>
  <si>
    <t>STD-2446</t>
  </si>
  <si>
    <t>STD-2447</t>
  </si>
  <si>
    <t>STD-2448</t>
  </si>
  <si>
    <t>STD-2449</t>
  </si>
  <si>
    <t>STD-2450</t>
  </si>
  <si>
    <t>STD-2451</t>
  </si>
  <si>
    <t>STD-2452</t>
  </si>
  <si>
    <t>STD-2453</t>
  </si>
  <si>
    <t>STD-2454</t>
  </si>
  <si>
    <t>STD-2455</t>
  </si>
  <si>
    <t>STD-2456</t>
  </si>
  <si>
    <t>STD-2457</t>
  </si>
  <si>
    <t>STD-2458</t>
  </si>
  <si>
    <t>STD-2459</t>
  </si>
  <si>
    <t>STD-2460</t>
  </si>
  <si>
    <t>STD-2461</t>
  </si>
  <si>
    <t>STD-2462</t>
  </si>
  <si>
    <t>STD-2463</t>
  </si>
  <si>
    <t>STD-2464</t>
  </si>
  <si>
    <t>STD-2465</t>
  </si>
  <si>
    <t>STD-2466</t>
  </si>
  <si>
    <t>STD-2467</t>
  </si>
  <si>
    <t>STD-2468</t>
  </si>
  <si>
    <t>STD-2469</t>
  </si>
  <si>
    <t>STD-2470</t>
  </si>
  <si>
    <t>STD-2471</t>
  </si>
  <si>
    <t>STD-2472</t>
  </si>
  <si>
    <t>STD-2473</t>
  </si>
  <si>
    <t>STD-2474</t>
  </si>
  <si>
    <t>STD-2475</t>
  </si>
  <si>
    <t>STD-2476</t>
  </si>
  <si>
    <t>STD-2477</t>
  </si>
  <si>
    <t>STD-2478</t>
  </si>
  <si>
    <t>STD-2479</t>
  </si>
  <si>
    <t>STD-2480</t>
  </si>
  <si>
    <t>STD-2481</t>
  </si>
  <si>
    <t>STD-2482</t>
  </si>
  <si>
    <t>STD-2483</t>
  </si>
  <si>
    <t>STD-2484</t>
  </si>
  <si>
    <t>STD-2485</t>
  </si>
  <si>
    <t>STD-2486</t>
  </si>
  <si>
    <t>STD-2487</t>
  </si>
  <si>
    <t>STD-2488</t>
  </si>
  <si>
    <t>STD-2489</t>
  </si>
  <si>
    <t>STD-2490</t>
  </si>
  <si>
    <t>STD-2491</t>
  </si>
  <si>
    <t>STD-2492</t>
  </si>
  <si>
    <t>STD-2493</t>
  </si>
  <si>
    <t>STD-2494</t>
  </si>
  <si>
    <t>STD-2495</t>
  </si>
  <si>
    <t>STD-2496</t>
  </si>
  <si>
    <t>STD-2497</t>
  </si>
  <si>
    <t>STD-2498</t>
  </si>
  <si>
    <t>STD-2499</t>
  </si>
  <si>
    <t>STD-2500</t>
  </si>
  <si>
    <t>STD-2501</t>
  </si>
  <si>
    <t>STD-2502</t>
  </si>
  <si>
    <t>STD-2503</t>
  </si>
  <si>
    <t>STD-2504</t>
  </si>
  <si>
    <t>STD-2505</t>
  </si>
  <si>
    <t>STD-2506</t>
  </si>
  <si>
    <t>STD-2507</t>
  </si>
  <si>
    <t>STD-2508</t>
  </si>
  <si>
    <t>STD-2509</t>
  </si>
  <si>
    <t>STD-2510</t>
  </si>
  <si>
    <t>STD-2511</t>
  </si>
  <si>
    <t>STD-2512</t>
  </si>
  <si>
    <t>STD-2513</t>
  </si>
  <si>
    <t>STD-2514</t>
  </si>
  <si>
    <t>STD-2515</t>
  </si>
  <si>
    <t>STD-2516</t>
  </si>
  <si>
    <t>STD-2517</t>
  </si>
  <si>
    <t>STD-2518</t>
  </si>
  <si>
    <t>STD-2519</t>
  </si>
  <si>
    <t>STD-2520</t>
  </si>
  <si>
    <t>STD-2521</t>
  </si>
  <si>
    <t>STD-2522</t>
  </si>
  <si>
    <t>STD-2523</t>
  </si>
  <si>
    <t>STD-2524</t>
  </si>
  <si>
    <t>STD-2525</t>
  </si>
  <si>
    <t>STD-2526</t>
  </si>
  <si>
    <t>STD-2527</t>
  </si>
  <si>
    <t>STD-2528</t>
  </si>
  <si>
    <t>STD-2529</t>
  </si>
  <si>
    <t>STD-2530</t>
  </si>
  <si>
    <t>STD-2531</t>
  </si>
  <si>
    <t>STD-2532</t>
  </si>
  <si>
    <t>STD-2533</t>
  </si>
  <si>
    <t>STD-2534</t>
  </si>
  <si>
    <t>STD-2535</t>
  </si>
  <si>
    <t>STD-2536</t>
  </si>
  <si>
    <t>STD-2537</t>
  </si>
  <si>
    <t>STD-2538</t>
  </si>
  <si>
    <t>STD-2539</t>
  </si>
  <si>
    <t>STD-2540</t>
  </si>
  <si>
    <t>STD-2541</t>
  </si>
  <si>
    <t>STD-2542</t>
  </si>
  <si>
    <t>STD-2543</t>
  </si>
  <si>
    <t>STD-2544</t>
  </si>
  <si>
    <t>STD-2545</t>
  </si>
  <si>
    <t>STD-2546</t>
  </si>
  <si>
    <t>STD-2547</t>
  </si>
  <si>
    <t>STD-2548</t>
  </si>
  <si>
    <t>STD-2549</t>
  </si>
  <si>
    <t>STD-2550</t>
  </si>
  <si>
    <t>STD-2551</t>
  </si>
  <si>
    <t>STD-2552</t>
  </si>
  <si>
    <t>STD-2553</t>
  </si>
  <si>
    <t>STD-2554</t>
  </si>
  <si>
    <t>STD-2555</t>
  </si>
  <si>
    <t>STD-2556</t>
  </si>
  <si>
    <t>STD-2557</t>
  </si>
  <si>
    <t>STD-2558</t>
  </si>
  <si>
    <t>STD-2559</t>
  </si>
  <si>
    <t>STD-2560</t>
  </si>
  <si>
    <t>STD-2561</t>
  </si>
  <si>
    <t>STD-2562</t>
  </si>
  <si>
    <t>STD-2563</t>
  </si>
  <si>
    <t>STD-2564</t>
  </si>
  <si>
    <t>STD-2565</t>
  </si>
  <si>
    <t>STD-2566</t>
  </si>
  <si>
    <t>STD-2567</t>
  </si>
  <si>
    <t>STD-2568</t>
  </si>
  <si>
    <t>STD-2569</t>
  </si>
  <si>
    <t>STD-2570</t>
  </si>
  <si>
    <t>STD-2571</t>
  </si>
  <si>
    <t>STD-2572</t>
  </si>
  <si>
    <t>STD-2573</t>
  </si>
  <si>
    <t>STD-2574</t>
  </si>
  <si>
    <t>STD-2575</t>
  </si>
  <si>
    <t>STD-2576</t>
  </si>
  <si>
    <t>STD-2577</t>
  </si>
  <si>
    <t>STD-2578</t>
  </si>
  <si>
    <t>STD-2579</t>
  </si>
  <si>
    <t>STD-2580</t>
  </si>
  <si>
    <t>STD-2581</t>
  </si>
  <si>
    <t>STD-2582</t>
  </si>
  <si>
    <t>STD-2583</t>
  </si>
  <si>
    <t>STD-2584</t>
  </si>
  <si>
    <t>STD-2585</t>
  </si>
  <si>
    <t>STD-2586</t>
  </si>
  <si>
    <t>STD-2587</t>
  </si>
  <si>
    <t>STD-2588</t>
  </si>
  <si>
    <t>STD-2589</t>
  </si>
  <si>
    <t>STD-2590</t>
  </si>
  <si>
    <t>STD-2591</t>
  </si>
  <si>
    <t>STD-2592</t>
  </si>
  <si>
    <t>STD-2593</t>
  </si>
  <si>
    <t>STD-2594</t>
  </si>
  <si>
    <t>STD-2595</t>
  </si>
  <si>
    <t>STD-2596</t>
  </si>
  <si>
    <t>STD-2597</t>
  </si>
  <si>
    <t>STD-2598</t>
  </si>
  <si>
    <t>STD-2599</t>
  </si>
  <si>
    <t xml:space="preserve">Mean </t>
  </si>
  <si>
    <t xml:space="preserve">Median </t>
  </si>
  <si>
    <t xml:space="preserve">Standard Deviation </t>
  </si>
  <si>
    <t xml:space="preserve">Min </t>
  </si>
  <si>
    <t>max</t>
  </si>
  <si>
    <t xml:space="preserve">Count </t>
  </si>
  <si>
    <t xml:space="preserve">Variable </t>
  </si>
  <si>
    <t xml:space="preserve">Previous grade  </t>
  </si>
  <si>
    <t>Study hours</t>
  </si>
  <si>
    <t xml:space="preserve">Attendance Rate </t>
  </si>
  <si>
    <t xml:space="preserve">Final Score </t>
  </si>
  <si>
    <t>Sleep hours</t>
  </si>
  <si>
    <t>Total</t>
  </si>
  <si>
    <t>Variable 1</t>
  </si>
  <si>
    <t>Variable 2</t>
  </si>
  <si>
    <t>Correction ®</t>
  </si>
  <si>
    <t xml:space="preserve">Final Exam Score </t>
  </si>
  <si>
    <t xml:space="preserve">Study Hours Per Week </t>
  </si>
  <si>
    <t>Attendance Rate</t>
  </si>
  <si>
    <t>Previous Grade</t>
  </si>
  <si>
    <t>Sleeping Hours</t>
  </si>
  <si>
    <t xml:space="preserve">Study Hours per week </t>
  </si>
  <si>
    <t xml:space="preserve">r= +1  Perfect  positive </t>
  </si>
  <si>
    <t xml:space="preserve">r= -1  Perfect negative </t>
  </si>
  <si>
    <t>r= 0 no correlation</t>
  </si>
  <si>
    <t>0.0- 0.3</t>
  </si>
  <si>
    <t>weak</t>
  </si>
  <si>
    <t>0.3-0.6</t>
  </si>
  <si>
    <t>moderate</t>
  </si>
  <si>
    <t>0.6-1.0</t>
  </si>
  <si>
    <t>strong</t>
  </si>
  <si>
    <t xml:space="preserve">Male score </t>
  </si>
  <si>
    <t xml:space="preserve">female score </t>
  </si>
  <si>
    <t>t-Test: Two-Sample Assuming Equal Variances</t>
  </si>
  <si>
    <t>Mean</t>
  </si>
  <si>
    <t>Variance</t>
  </si>
  <si>
    <t>Observations</t>
  </si>
  <si>
    <t>Pooled Variance</t>
  </si>
  <si>
    <t>Hypothesized Mean Difference</t>
  </si>
  <si>
    <t>df</t>
  </si>
  <si>
    <t>t Stat</t>
  </si>
  <si>
    <t>P(T&lt;=t) one-tail</t>
  </si>
  <si>
    <t>t Critical one-tail</t>
  </si>
  <si>
    <t>P(T&lt;=t) two-tail</t>
  </si>
  <si>
    <t>t Critical two-tail</t>
  </si>
  <si>
    <t xml:space="preserve">high school </t>
  </si>
  <si>
    <t>diploma</t>
  </si>
  <si>
    <t>bachelor</t>
  </si>
  <si>
    <t>master</t>
  </si>
  <si>
    <t>phd</t>
  </si>
  <si>
    <t>Anova: Single Factor</t>
  </si>
  <si>
    <t>SUMMARY</t>
  </si>
  <si>
    <t>Groups</t>
  </si>
  <si>
    <t>Count</t>
  </si>
  <si>
    <t>Sum</t>
  </si>
  <si>
    <t>Average</t>
  </si>
  <si>
    <t>ANOVA</t>
  </si>
  <si>
    <t>Source of Variation</t>
  </si>
  <si>
    <t>SS</t>
  </si>
  <si>
    <t>MS</t>
  </si>
  <si>
    <t>F</t>
  </si>
  <si>
    <t>P-value</t>
  </si>
  <si>
    <t>F crit</t>
  </si>
  <si>
    <t>Between Groups</t>
  </si>
  <si>
    <t>Within Groups</t>
  </si>
  <si>
    <t>SUMMARY OUTPUT</t>
  </si>
  <si>
    <t>Regression Statistics</t>
  </si>
  <si>
    <t>Multiple R</t>
  </si>
  <si>
    <t>R Square</t>
  </si>
  <si>
    <t>Adjusted R Square</t>
  </si>
  <si>
    <t>Standard Error</t>
  </si>
  <si>
    <t>Regression</t>
  </si>
  <si>
    <t>Residual</t>
  </si>
  <si>
    <t>Intercept</t>
  </si>
  <si>
    <t>Significance F</t>
  </si>
  <si>
    <t>Coefficients</t>
  </si>
  <si>
    <t>Lower 95%</t>
  </si>
  <si>
    <t>Upper 95%</t>
  </si>
  <si>
    <t>Lower 95.0%</t>
  </si>
  <si>
    <t>Upper 95.0%</t>
  </si>
  <si>
    <t>SLEEP</t>
  </si>
  <si>
    <t>PREVIOUS</t>
  </si>
  <si>
    <t>STUDY</t>
  </si>
  <si>
    <t>attend</t>
  </si>
  <si>
    <t>Attendance</t>
  </si>
  <si>
    <t>Study hour</t>
  </si>
  <si>
    <t>Sleep hour</t>
  </si>
  <si>
    <t>Previous grade</t>
  </si>
  <si>
    <t>Row Labels</t>
  </si>
  <si>
    <t>Grand Total</t>
  </si>
  <si>
    <t>Average of Final_Exam_Score</t>
  </si>
  <si>
    <t>0-4</t>
  </si>
  <si>
    <t>5-9</t>
  </si>
  <si>
    <t>10-14</t>
  </si>
  <si>
    <t>15-19</t>
  </si>
  <si>
    <t>20-24</t>
  </si>
  <si>
    <t>25-30</t>
  </si>
  <si>
    <t>65-75</t>
  </si>
  <si>
    <t>75-85</t>
  </si>
  <si>
    <t>85-95</t>
  </si>
  <si>
    <t>95-105</t>
  </si>
  <si>
    <t>Count of Student_ID</t>
  </si>
  <si>
    <t>Pass/Fail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</si>
</sst>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theme="0" tint="-0.14999847407452621"/>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1"/>
      </top>
      <bottom style="thin">
        <color theme="1"/>
      </bottom>
      <diagonal/>
    </border>
    <border>
      <left/>
      <right/>
      <top/>
      <bottom style="thin">
        <color theme="1"/>
      </bottom>
      <diagonal/>
    </border>
    <border>
      <left/>
      <right/>
      <top/>
      <bottom style="medium">
        <color indexed="64"/>
      </bottom>
      <diagonal/>
    </border>
    <border>
      <left/>
      <right/>
      <top style="medium">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2" fontId="0" fillId="0" borderId="0" xfId="0" applyNumberFormat="1"/>
    <xf numFmtId="49" fontId="0" fillId="0" borderId="0" xfId="0" applyNumberFormat="1"/>
    <xf numFmtId="0" fontId="0" fillId="33" borderId="0" xfId="0" applyFill="1"/>
    <xf numFmtId="0" fontId="0" fillId="0" borderId="11" xfId="0" applyBorder="1"/>
    <xf numFmtId="0" fontId="0" fillId="0" borderId="12" xfId="0" applyBorder="1"/>
    <xf numFmtId="0" fontId="18" fillId="0" borderId="13" xfId="0" applyFont="1" applyBorder="1" applyAlignment="1">
      <alignment horizontal="center"/>
    </xf>
    <xf numFmtId="0" fontId="0" fillId="33" borderId="11" xfId="0" applyFill="1" applyBorder="1"/>
    <xf numFmtId="0" fontId="18" fillId="0" borderId="13" xfId="0" applyFont="1" applyBorder="1" applyAlignment="1">
      <alignment horizontal="centerContinuous"/>
    </xf>
    <xf numFmtId="2" fontId="16" fillId="0" borderId="10" xfId="0" applyNumberFormat="1" applyFont="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30" formatCode="@"/>
    </dxf>
  </dxfs>
  <tableStyles count="2" defaultTableStyle="TableStyleMedium2" defaultPivotStyle="PivotStyleLight16">
    <tableStyle name="Slicer Style 1" pivot="0" table="0" count="0" xr9:uid="{3B957076-9617-4859-9A22-7A94CA89D39B}"/>
    <tableStyle name="Slicer Style 2" pivot="0" table="0" count="0" xr9:uid="{F80632AA-C944-4E8C-AB77-6EA62076853D}"/>
  </tableStyles>
  <colors>
    <mruColors>
      <color rgb="FFBAC8C9"/>
      <color rgb="FF000D0E"/>
    </mruColors>
  </colors>
  <extLst>
    <ext xmlns:x14="http://schemas.microsoft.com/office/spreadsheetml/2009/9/main" uri="{EB79DEF2-80B8-43e5-95BD-54CBDDF9020C}">
      <x14:slicerStyles defaultSlicerStyle="Slicer Style 2">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10</xdr:col>
      <xdr:colOff>400050</xdr:colOff>
      <xdr:row>8</xdr:row>
      <xdr:rowOff>38100</xdr:rowOff>
    </xdr:from>
    <xdr:to>
      <xdr:col>13</xdr:col>
      <xdr:colOff>400050</xdr:colOff>
      <xdr:row>10</xdr:row>
      <xdr:rowOff>76199</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879E16A5-0BD7-3770-ABC6-204D6827981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401300" y="1562100"/>
              <a:ext cx="1828800" cy="419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28575</xdr:colOff>
      <xdr:row>10</xdr:row>
      <xdr:rowOff>133351</xdr:rowOff>
    </xdr:from>
    <xdr:to>
      <xdr:col>15</xdr:col>
      <xdr:colOff>171450</xdr:colOff>
      <xdr:row>12</xdr:row>
      <xdr:rowOff>152400</xdr:rowOff>
    </xdr:to>
    <mc:AlternateContent xmlns:mc="http://schemas.openxmlformats.org/markup-compatibility/2006" xmlns:a14="http://schemas.microsoft.com/office/drawing/2010/main">
      <mc:Choice Requires="a14">
        <xdr:graphicFrame macro="">
          <xdr:nvGraphicFramePr>
            <xdr:cNvPr id="3" name="Parental_Education_Level">
              <a:extLst>
                <a:ext uri="{FF2B5EF4-FFF2-40B4-BE49-F238E27FC236}">
                  <a16:creationId xmlns:a16="http://schemas.microsoft.com/office/drawing/2014/main" id="{56A434A2-10E8-7F9D-523F-EC60806338BE}"/>
                </a:ext>
              </a:extLst>
            </xdr:cNvPr>
            <xdr:cNvGraphicFramePr/>
          </xdr:nvGraphicFramePr>
          <xdr:xfrm>
            <a:off x="0" y="0"/>
            <a:ext cx="0" cy="0"/>
          </xdr:xfrm>
          <a:graphic>
            <a:graphicData uri="http://schemas.microsoft.com/office/drawing/2010/slicer">
              <sle:slicer xmlns:sle="http://schemas.microsoft.com/office/drawing/2010/slicer" name="Parental_Education_Level"/>
            </a:graphicData>
          </a:graphic>
        </xdr:graphicFrame>
      </mc:Choice>
      <mc:Fallback xmlns="">
        <xdr:sp macro="" textlink="">
          <xdr:nvSpPr>
            <xdr:cNvPr id="0" name=""/>
            <xdr:cNvSpPr>
              <a:spLocks noTextEdit="1"/>
            </xdr:cNvSpPr>
          </xdr:nvSpPr>
          <xdr:spPr>
            <a:xfrm>
              <a:off x="8810625" y="2038351"/>
              <a:ext cx="4410075" cy="400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85.895018171293" createdVersion="8" refreshedVersion="8" minRefreshableVersion="3" recordCount="600" xr:uid="{AB9F86AA-49F0-4251-93BD-BDBE6DC88875}">
  <cacheSource type="worksheet">
    <worksheetSource name="Table2"/>
  </cacheSource>
  <cacheFields count="12">
    <cacheField name="Student_ID" numFmtId="0">
      <sharedItems count="600">
        <s v="STD-2000"/>
        <s v="STD-2001"/>
        <s v="STD-2002"/>
        <s v="STD-2003"/>
        <s v="STD-2004"/>
        <s v="STD-2005"/>
        <s v="STD-2006"/>
        <s v="STD-2007"/>
        <s v="STD-2008"/>
        <s v="STD-2009"/>
        <s v="STD-2010"/>
        <s v="STD-2011"/>
        <s v="STD-2012"/>
        <s v="STD-2013"/>
        <s v="STD-2014"/>
        <s v="STD-2015"/>
        <s v="STD-2016"/>
        <s v="STD-2017"/>
        <s v="STD-2018"/>
        <s v="STD-2019"/>
        <s v="STD-2020"/>
        <s v="STD-2021"/>
        <s v="STD-2022"/>
        <s v="STD-2023"/>
        <s v="STD-2024"/>
        <s v="STD-2025"/>
        <s v="STD-2026"/>
        <s v="STD-2027"/>
        <s v="STD-2028"/>
        <s v="STD-2029"/>
        <s v="STD-2030"/>
        <s v="STD-2031"/>
        <s v="STD-2032"/>
        <s v="STD-2033"/>
        <s v="STD-2034"/>
        <s v="STD-2035"/>
        <s v="STD-2036"/>
        <s v="STD-2037"/>
        <s v="STD-2038"/>
        <s v="STD-2039"/>
        <s v="STD-2040"/>
        <s v="STD-2041"/>
        <s v="STD-2042"/>
        <s v="STD-2043"/>
        <s v="STD-2044"/>
        <s v="STD-2045"/>
        <s v="STD-2046"/>
        <s v="STD-2047"/>
        <s v="STD-2048"/>
        <s v="STD-2049"/>
        <s v="STD-2050"/>
        <s v="STD-2051"/>
        <s v="STD-2052"/>
        <s v="STD-2053"/>
        <s v="STD-2054"/>
        <s v="STD-2055"/>
        <s v="STD-2056"/>
        <s v="STD-2057"/>
        <s v="STD-2058"/>
        <s v="STD-2059"/>
        <s v="STD-2060"/>
        <s v="STD-2061"/>
        <s v="STD-2062"/>
        <s v="STD-2063"/>
        <s v="STD-2064"/>
        <s v="STD-2065"/>
        <s v="STD-2066"/>
        <s v="STD-2067"/>
        <s v="STD-2068"/>
        <s v="STD-2069"/>
        <s v="STD-2070"/>
        <s v="STD-2071"/>
        <s v="STD-2072"/>
        <s v="STD-2073"/>
        <s v="STD-2074"/>
        <s v="STD-2075"/>
        <s v="STD-2076"/>
        <s v="STD-2077"/>
        <s v="STD-2078"/>
        <s v="STD-2079"/>
        <s v="STD-2080"/>
        <s v="STD-2081"/>
        <s v="STD-2082"/>
        <s v="STD-2083"/>
        <s v="STD-2084"/>
        <s v="STD-2085"/>
        <s v="STD-2086"/>
        <s v="STD-2087"/>
        <s v="STD-2088"/>
        <s v="STD-2089"/>
        <s v="STD-2090"/>
        <s v="STD-2091"/>
        <s v="STD-2092"/>
        <s v="STD-2093"/>
        <s v="STD-2094"/>
        <s v="STD-2095"/>
        <s v="STD-2096"/>
        <s v="STD-2097"/>
        <s v="STD-2098"/>
        <s v="STD-2099"/>
        <s v="STD-2100"/>
        <s v="STD-2101"/>
        <s v="STD-2102"/>
        <s v="STD-2103"/>
        <s v="STD-2104"/>
        <s v="STD-2105"/>
        <s v="STD-2106"/>
        <s v="STD-2107"/>
        <s v="STD-2108"/>
        <s v="STD-2109"/>
        <s v="STD-2110"/>
        <s v="STD-2111"/>
        <s v="STD-2112"/>
        <s v="STD-2113"/>
        <s v="STD-2114"/>
        <s v="STD-2115"/>
        <s v="STD-2116"/>
        <s v="STD-2117"/>
        <s v="STD-2118"/>
        <s v="STD-2119"/>
        <s v="STD-2120"/>
        <s v="STD-2121"/>
        <s v="STD-2122"/>
        <s v="STD-2123"/>
        <s v="STD-2124"/>
        <s v="STD-2125"/>
        <s v="STD-2126"/>
        <s v="STD-2127"/>
        <s v="STD-2128"/>
        <s v="STD-2129"/>
        <s v="STD-2130"/>
        <s v="STD-2131"/>
        <s v="STD-2132"/>
        <s v="STD-2133"/>
        <s v="STD-2134"/>
        <s v="STD-2135"/>
        <s v="STD-2136"/>
        <s v="STD-2137"/>
        <s v="STD-2138"/>
        <s v="STD-2139"/>
        <s v="STD-2140"/>
        <s v="STD-2141"/>
        <s v="STD-2142"/>
        <s v="STD-2143"/>
        <s v="STD-2144"/>
        <s v="STD-2145"/>
        <s v="STD-2146"/>
        <s v="STD-2147"/>
        <s v="STD-2148"/>
        <s v="STD-2149"/>
        <s v="STD-2150"/>
        <s v="STD-2151"/>
        <s v="STD-2152"/>
        <s v="STD-2153"/>
        <s v="STD-2154"/>
        <s v="STD-2155"/>
        <s v="STD-2156"/>
        <s v="STD-2157"/>
        <s v="STD-2158"/>
        <s v="STD-2159"/>
        <s v="STD-2160"/>
        <s v="STD-2161"/>
        <s v="STD-2162"/>
        <s v="STD-2163"/>
        <s v="STD-2164"/>
        <s v="STD-2165"/>
        <s v="STD-2166"/>
        <s v="STD-2167"/>
        <s v="STD-2168"/>
        <s v="STD-2169"/>
        <s v="STD-2170"/>
        <s v="STD-2171"/>
        <s v="STD-2172"/>
        <s v="STD-2173"/>
        <s v="STD-2174"/>
        <s v="STD-2175"/>
        <s v="STD-2176"/>
        <s v="STD-2177"/>
        <s v="STD-2178"/>
        <s v="STD-2179"/>
        <s v="STD-2180"/>
        <s v="STD-2181"/>
        <s v="STD-2182"/>
        <s v="STD-2183"/>
        <s v="STD-2184"/>
        <s v="STD-2185"/>
        <s v="STD-2186"/>
        <s v="STD-2187"/>
        <s v="STD-2188"/>
        <s v="STD-2189"/>
        <s v="STD-2190"/>
        <s v="STD-2191"/>
        <s v="STD-2192"/>
        <s v="STD-2193"/>
        <s v="STD-2194"/>
        <s v="STD-2195"/>
        <s v="STD-2196"/>
        <s v="STD-2197"/>
        <s v="STD-2198"/>
        <s v="STD-2199"/>
        <s v="STD-2200"/>
        <s v="STD-2201"/>
        <s v="STD-2202"/>
        <s v="STD-2203"/>
        <s v="STD-2204"/>
        <s v="STD-2205"/>
        <s v="STD-2206"/>
        <s v="STD-2207"/>
        <s v="STD-2208"/>
        <s v="STD-2209"/>
        <s v="STD-2210"/>
        <s v="STD-2211"/>
        <s v="STD-2212"/>
        <s v="STD-2213"/>
        <s v="STD-2214"/>
        <s v="STD-2215"/>
        <s v="STD-2216"/>
        <s v="STD-2217"/>
        <s v="STD-2218"/>
        <s v="STD-2219"/>
        <s v="STD-2220"/>
        <s v="STD-2221"/>
        <s v="STD-2222"/>
        <s v="STD-2223"/>
        <s v="STD-2224"/>
        <s v="STD-2225"/>
        <s v="STD-2226"/>
        <s v="STD-2227"/>
        <s v="STD-2228"/>
        <s v="STD-2229"/>
        <s v="STD-2230"/>
        <s v="STD-2231"/>
        <s v="STD-2232"/>
        <s v="STD-2233"/>
        <s v="STD-2234"/>
        <s v="STD-2235"/>
        <s v="STD-2236"/>
        <s v="STD-2237"/>
        <s v="STD-2238"/>
        <s v="STD-2239"/>
        <s v="STD-2240"/>
        <s v="STD-2241"/>
        <s v="STD-2242"/>
        <s v="STD-2243"/>
        <s v="STD-2244"/>
        <s v="STD-2245"/>
        <s v="STD-2246"/>
        <s v="STD-2247"/>
        <s v="STD-2248"/>
        <s v="STD-2249"/>
        <s v="STD-2250"/>
        <s v="STD-2251"/>
        <s v="STD-2252"/>
        <s v="STD-2253"/>
        <s v="STD-2254"/>
        <s v="STD-2255"/>
        <s v="STD-2256"/>
        <s v="STD-2257"/>
        <s v="STD-2258"/>
        <s v="STD-2259"/>
        <s v="STD-2260"/>
        <s v="STD-2261"/>
        <s v="STD-2262"/>
        <s v="STD-2263"/>
        <s v="STD-2264"/>
        <s v="STD-2265"/>
        <s v="STD-2266"/>
        <s v="STD-2267"/>
        <s v="STD-2268"/>
        <s v="STD-2269"/>
        <s v="STD-2270"/>
        <s v="STD-2271"/>
        <s v="STD-2272"/>
        <s v="STD-2273"/>
        <s v="STD-2274"/>
        <s v="STD-2275"/>
        <s v="STD-2276"/>
        <s v="STD-2277"/>
        <s v="STD-2278"/>
        <s v="STD-2279"/>
        <s v="STD-2280"/>
        <s v="STD-2281"/>
        <s v="STD-2282"/>
        <s v="STD-2283"/>
        <s v="STD-2284"/>
        <s v="STD-2285"/>
        <s v="STD-2286"/>
        <s v="STD-2287"/>
        <s v="STD-2288"/>
        <s v="STD-2289"/>
        <s v="STD-2290"/>
        <s v="STD-2291"/>
        <s v="STD-2292"/>
        <s v="STD-2293"/>
        <s v="STD-2294"/>
        <s v="STD-2295"/>
        <s v="STD-2296"/>
        <s v="STD-2297"/>
        <s v="STD-2298"/>
        <s v="STD-2299"/>
        <s v="STD-2300"/>
        <s v="STD-2301"/>
        <s v="STD-2302"/>
        <s v="STD-2303"/>
        <s v="STD-2304"/>
        <s v="STD-2305"/>
        <s v="STD-2306"/>
        <s v="STD-2307"/>
        <s v="STD-2308"/>
        <s v="STD-2309"/>
        <s v="STD-2310"/>
        <s v="STD-2311"/>
        <s v="STD-2312"/>
        <s v="STD-2313"/>
        <s v="STD-2314"/>
        <s v="STD-2315"/>
        <s v="STD-2316"/>
        <s v="STD-2317"/>
        <s v="STD-2318"/>
        <s v="STD-2319"/>
        <s v="STD-2320"/>
        <s v="STD-2321"/>
        <s v="STD-2322"/>
        <s v="STD-2323"/>
        <s v="STD-2324"/>
        <s v="STD-2325"/>
        <s v="STD-2326"/>
        <s v="STD-2327"/>
        <s v="STD-2328"/>
        <s v="STD-2329"/>
        <s v="STD-2330"/>
        <s v="STD-2331"/>
        <s v="STD-2332"/>
        <s v="STD-2333"/>
        <s v="STD-2334"/>
        <s v="STD-2335"/>
        <s v="STD-2336"/>
        <s v="STD-2337"/>
        <s v="STD-2338"/>
        <s v="STD-2339"/>
        <s v="STD-2340"/>
        <s v="STD-2341"/>
        <s v="STD-2342"/>
        <s v="STD-2343"/>
        <s v="STD-2344"/>
        <s v="STD-2345"/>
        <s v="STD-2346"/>
        <s v="STD-2347"/>
        <s v="STD-2348"/>
        <s v="STD-2349"/>
        <s v="STD-2350"/>
        <s v="STD-2351"/>
        <s v="STD-2352"/>
        <s v="STD-2353"/>
        <s v="STD-2354"/>
        <s v="STD-2355"/>
        <s v="STD-2356"/>
        <s v="STD-2357"/>
        <s v="STD-2358"/>
        <s v="STD-2359"/>
        <s v="STD-2360"/>
        <s v="STD-2361"/>
        <s v="STD-2362"/>
        <s v="STD-2363"/>
        <s v="STD-2364"/>
        <s v="STD-2365"/>
        <s v="STD-2366"/>
        <s v="STD-2367"/>
        <s v="STD-2368"/>
        <s v="STD-2369"/>
        <s v="STD-2370"/>
        <s v="STD-2371"/>
        <s v="STD-2372"/>
        <s v="STD-2373"/>
        <s v="STD-2374"/>
        <s v="STD-2375"/>
        <s v="STD-2376"/>
        <s v="STD-2377"/>
        <s v="STD-2378"/>
        <s v="STD-2379"/>
        <s v="STD-2380"/>
        <s v="STD-2381"/>
        <s v="STD-2382"/>
        <s v="STD-2383"/>
        <s v="STD-2384"/>
        <s v="STD-2385"/>
        <s v="STD-2386"/>
        <s v="STD-2387"/>
        <s v="STD-2388"/>
        <s v="STD-2389"/>
        <s v="STD-2390"/>
        <s v="STD-2391"/>
        <s v="STD-2392"/>
        <s v="STD-2393"/>
        <s v="STD-2394"/>
        <s v="STD-2395"/>
        <s v="STD-2396"/>
        <s v="STD-2397"/>
        <s v="STD-2398"/>
        <s v="STD-2399"/>
        <s v="STD-2400"/>
        <s v="STD-2401"/>
        <s v="STD-2402"/>
        <s v="STD-2403"/>
        <s v="STD-2404"/>
        <s v="STD-2405"/>
        <s v="STD-2406"/>
        <s v="STD-2407"/>
        <s v="STD-2408"/>
        <s v="STD-2409"/>
        <s v="STD-2410"/>
        <s v="STD-2411"/>
        <s v="STD-2412"/>
        <s v="STD-2413"/>
        <s v="STD-2414"/>
        <s v="STD-2415"/>
        <s v="STD-2416"/>
        <s v="STD-2417"/>
        <s v="STD-2418"/>
        <s v="STD-2419"/>
        <s v="STD-2420"/>
        <s v="STD-2421"/>
        <s v="STD-2422"/>
        <s v="STD-2423"/>
        <s v="STD-2424"/>
        <s v="STD-2425"/>
        <s v="STD-2426"/>
        <s v="STD-2427"/>
        <s v="STD-2428"/>
        <s v="STD-2429"/>
        <s v="STD-2430"/>
        <s v="STD-2431"/>
        <s v="STD-2432"/>
        <s v="STD-2433"/>
        <s v="STD-2434"/>
        <s v="STD-2435"/>
        <s v="STD-2436"/>
        <s v="STD-2437"/>
        <s v="STD-2438"/>
        <s v="STD-2439"/>
        <s v="STD-2440"/>
        <s v="STD-2441"/>
        <s v="STD-2442"/>
        <s v="STD-2443"/>
        <s v="STD-2444"/>
        <s v="STD-2445"/>
        <s v="STD-2446"/>
        <s v="STD-2447"/>
        <s v="STD-2448"/>
        <s v="STD-2449"/>
        <s v="STD-2450"/>
        <s v="STD-2451"/>
        <s v="STD-2452"/>
        <s v="STD-2453"/>
        <s v="STD-2454"/>
        <s v="STD-2455"/>
        <s v="STD-2456"/>
        <s v="STD-2457"/>
        <s v="STD-2458"/>
        <s v="STD-2459"/>
        <s v="STD-2460"/>
        <s v="STD-2461"/>
        <s v="STD-2462"/>
        <s v="STD-2463"/>
        <s v="STD-2464"/>
        <s v="STD-2465"/>
        <s v="STD-2466"/>
        <s v="STD-2467"/>
        <s v="STD-2468"/>
        <s v="STD-2469"/>
        <s v="STD-2470"/>
        <s v="STD-2471"/>
        <s v="STD-2472"/>
        <s v="STD-2473"/>
        <s v="STD-2474"/>
        <s v="STD-2475"/>
        <s v="STD-2476"/>
        <s v="STD-2477"/>
        <s v="STD-2478"/>
        <s v="STD-2479"/>
        <s v="STD-2480"/>
        <s v="STD-2481"/>
        <s v="STD-2482"/>
        <s v="STD-2483"/>
        <s v="STD-2484"/>
        <s v="STD-2485"/>
        <s v="STD-2486"/>
        <s v="STD-2487"/>
        <s v="STD-2488"/>
        <s v="STD-2489"/>
        <s v="STD-2490"/>
        <s v="STD-2491"/>
        <s v="STD-2492"/>
        <s v="STD-2493"/>
        <s v="STD-2494"/>
        <s v="STD-2495"/>
        <s v="STD-2496"/>
        <s v="STD-2497"/>
        <s v="STD-2498"/>
        <s v="STD-2499"/>
        <s v="STD-2500"/>
        <s v="STD-2501"/>
        <s v="STD-2502"/>
        <s v="STD-2503"/>
        <s v="STD-2504"/>
        <s v="STD-2505"/>
        <s v="STD-2506"/>
        <s v="STD-2507"/>
        <s v="STD-2508"/>
        <s v="STD-2509"/>
        <s v="STD-2510"/>
        <s v="STD-2511"/>
        <s v="STD-2512"/>
        <s v="STD-2513"/>
        <s v="STD-2514"/>
        <s v="STD-2515"/>
        <s v="STD-2516"/>
        <s v="STD-2517"/>
        <s v="STD-2518"/>
        <s v="STD-2519"/>
        <s v="STD-2520"/>
        <s v="STD-2521"/>
        <s v="STD-2522"/>
        <s v="STD-2523"/>
        <s v="STD-2524"/>
        <s v="STD-2525"/>
        <s v="STD-2526"/>
        <s v="STD-2527"/>
        <s v="STD-2528"/>
        <s v="STD-2529"/>
        <s v="STD-2530"/>
        <s v="STD-2531"/>
        <s v="STD-2532"/>
        <s v="STD-2533"/>
        <s v="STD-2534"/>
        <s v="STD-2535"/>
        <s v="STD-2536"/>
        <s v="STD-2537"/>
        <s v="STD-2538"/>
        <s v="STD-2539"/>
        <s v="STD-2540"/>
        <s v="STD-2541"/>
        <s v="STD-2542"/>
        <s v="STD-2543"/>
        <s v="STD-2544"/>
        <s v="STD-2545"/>
        <s v="STD-2546"/>
        <s v="STD-2547"/>
        <s v="STD-2548"/>
        <s v="STD-2549"/>
        <s v="STD-2550"/>
        <s v="STD-2551"/>
        <s v="STD-2552"/>
        <s v="STD-2553"/>
        <s v="STD-2554"/>
        <s v="STD-2555"/>
        <s v="STD-2556"/>
        <s v="STD-2557"/>
        <s v="STD-2558"/>
        <s v="STD-2559"/>
        <s v="STD-2560"/>
        <s v="STD-2561"/>
        <s v="STD-2562"/>
        <s v="STD-2563"/>
        <s v="STD-2564"/>
        <s v="STD-2565"/>
        <s v="STD-2566"/>
        <s v="STD-2567"/>
        <s v="STD-2568"/>
        <s v="STD-2569"/>
        <s v="STD-2570"/>
        <s v="STD-2571"/>
        <s v="STD-2572"/>
        <s v="STD-2573"/>
        <s v="STD-2574"/>
        <s v="STD-2575"/>
        <s v="STD-2576"/>
        <s v="STD-2577"/>
        <s v="STD-2578"/>
        <s v="STD-2579"/>
        <s v="STD-2580"/>
        <s v="STD-2581"/>
        <s v="STD-2582"/>
        <s v="STD-2583"/>
        <s v="STD-2584"/>
        <s v="STD-2585"/>
        <s v="STD-2586"/>
        <s v="STD-2587"/>
        <s v="STD-2588"/>
        <s v="STD-2589"/>
        <s v="STD-2590"/>
        <s v="STD-2591"/>
        <s v="STD-2592"/>
        <s v="STD-2593"/>
        <s v="STD-2594"/>
        <s v="STD-2595"/>
        <s v="STD-2596"/>
        <s v="STD-2597"/>
        <s v="STD-2598"/>
        <s v="STD-2599"/>
      </sharedItems>
    </cacheField>
    <cacheField name="Gender" numFmtId="0">
      <sharedItems count="2">
        <s v="Male"/>
        <s v="Female"/>
      </sharedItems>
    </cacheField>
    <cacheField name="Age" numFmtId="49">
      <sharedItems containsSemiMixedTypes="0" containsString="0" containsNumber="1" containsInteger="1" minValue="15" maxValue="21"/>
    </cacheField>
    <cacheField name="Study_Hours_Per_Week" numFmtId="0">
      <sharedItems containsSemiMixedTypes="0" containsString="0" containsNumber="1" containsInteger="1" minValue="2" maxValue="29" count="28">
        <n v="13"/>
        <n v="6"/>
        <n v="9"/>
        <n v="20"/>
        <n v="14"/>
        <n v="29"/>
        <n v="7"/>
        <n v="8"/>
        <n v="5"/>
        <n v="18"/>
        <n v="11"/>
        <n v="4"/>
        <n v="24"/>
        <n v="21"/>
        <n v="22"/>
        <n v="3"/>
        <n v="17"/>
        <n v="26"/>
        <n v="10"/>
        <n v="12"/>
        <n v="27"/>
        <n v="25"/>
        <n v="15"/>
        <n v="16"/>
        <n v="23"/>
        <n v="2"/>
        <n v="19"/>
        <n v="28"/>
      </sharedItems>
      <fieldGroup base="3">
        <rangePr autoStart="0" autoEnd="0" startNum="0" endNum="30" groupInterval="5"/>
        <groupItems count="8">
          <s v="&lt;0"/>
          <s v="0-4"/>
          <s v="5-9"/>
          <s v="10-14"/>
          <s v="15-19"/>
          <s v="20-24"/>
          <s v="25-30"/>
          <s v="&gt;30"/>
        </groupItems>
      </fieldGroup>
    </cacheField>
    <cacheField name="Attendance_Rate" numFmtId="0">
      <sharedItems containsSemiMixedTypes="0" containsString="0" containsNumber="1" minValue="65" maxValue="99.99" count="554">
        <n v="98.4"/>
        <n v="68.040000000000006"/>
        <n v="81.22"/>
        <n v="67.040000000000006"/>
        <n v="83.85"/>
        <n v="70.11"/>
        <n v="87.19"/>
        <n v="74.25"/>
        <n v="89.18"/>
        <n v="77.150000000000006"/>
        <n v="65.150000000000006"/>
        <n v="75.319999999999993"/>
        <n v="67.87"/>
        <n v="82.33"/>
        <n v="75.11"/>
        <n v="87.4"/>
        <n v="82.5"/>
        <n v="66.260000000000005"/>
        <n v="76.150000000000006"/>
        <n v="82.12"/>
        <n v="85.03"/>
        <n v="68.67"/>
        <n v="87.75"/>
        <n v="77.03"/>
        <n v="71.400000000000006"/>
        <n v="93.19"/>
        <n v="67.400000000000006"/>
        <n v="97.54"/>
        <n v="89.72"/>
        <n v="81.650000000000006"/>
        <n v="65.39"/>
        <n v="78.650000000000006"/>
        <n v="87.6"/>
        <n v="95.06"/>
        <n v="86.62"/>
        <n v="78.92"/>
        <n v="80.66"/>
        <n v="95.57"/>
        <n v="77.3"/>
        <n v="67.28"/>
        <n v="80.489999999999995"/>
        <n v="99.95"/>
        <n v="78.290000000000006"/>
        <n v="71.760000000000005"/>
        <n v="66.58"/>
        <n v="70.98"/>
        <n v="76.34"/>
        <n v="85.1"/>
        <n v="88.3"/>
        <n v="66.5"/>
        <n v="97.77"/>
        <n v="73.25"/>
        <n v="70.22"/>
        <n v="83.58"/>
        <n v="88.72"/>
        <n v="75.75"/>
        <n v="88.43"/>
        <n v="75.3"/>
        <n v="96.58"/>
        <n v="95.82"/>
        <n v="67.489999999999995"/>
        <n v="70.260000000000005"/>
        <n v="89.43"/>
        <n v="65"/>
        <n v="93.76"/>
        <n v="77.47"/>
        <n v="91.06"/>
        <n v="66.55"/>
        <n v="72.319999999999993"/>
        <n v="67.48"/>
        <n v="71.290000000000006"/>
        <n v="78.45"/>
        <n v="82.2"/>
        <n v="97.06"/>
        <n v="86.95"/>
        <n v="89.73"/>
        <n v="75.040000000000006"/>
        <n v="99.71"/>
        <n v="84.61"/>
        <n v="92.57"/>
        <n v="66.14"/>
        <n v="67.94"/>
        <n v="68.819999999999993"/>
        <n v="65.540000000000006"/>
        <n v="97.27"/>
        <n v="73.88"/>
        <n v="99.88"/>
        <n v="90.83"/>
        <n v="73.77"/>
        <n v="95.4"/>
        <n v="70.77"/>
        <n v="71.489999999999995"/>
        <n v="88.81"/>
        <n v="67.739999999999995"/>
        <n v="85.46"/>
        <n v="67.33"/>
        <n v="72.75"/>
        <n v="98.2"/>
        <n v="82.45"/>
        <n v="85.08"/>
        <n v="74.44"/>
        <n v="80.400000000000006"/>
        <n v="69.66"/>
        <n v="83.08"/>
        <n v="66.89"/>
        <n v="66.69"/>
        <n v="88.79"/>
        <n v="66.92"/>
        <n v="83.24"/>
        <n v="74.31"/>
        <n v="71.569999999999993"/>
        <n v="85.07"/>
        <n v="75.38"/>
        <n v="80.97"/>
        <n v="69.86"/>
        <n v="69.430000000000007"/>
        <n v="68.73"/>
        <n v="67.5"/>
        <n v="84.38"/>
        <n v="91.46"/>
        <n v="92.73"/>
        <n v="98.52"/>
        <n v="70.89"/>
        <n v="69.75"/>
        <n v="81.45"/>
        <n v="95.14"/>
        <n v="91.85"/>
        <n v="84.54"/>
        <n v="70.489999999999995"/>
        <n v="78.69"/>
        <n v="90.18"/>
        <n v="78.069999999999993"/>
        <n v="66.37"/>
        <n v="85.44"/>
        <n v="90.2"/>
        <n v="90.02"/>
        <n v="76.760000000000005"/>
        <n v="79.319999999999993"/>
        <n v="79.72"/>
        <n v="69"/>
        <n v="78.489999999999995"/>
        <n v="82.73"/>
        <n v="89.87"/>
        <n v="84.93"/>
        <n v="79.17"/>
        <n v="97.47"/>
        <n v="85.93"/>
        <n v="99.12"/>
        <n v="95.36"/>
        <n v="88.58"/>
        <n v="96.48"/>
        <n v="99.69"/>
        <n v="72.73"/>
        <n v="89.19"/>
        <n v="97.16"/>
        <n v="65.61"/>
        <n v="92.98"/>
        <n v="68.13"/>
        <n v="97.08"/>
        <n v="86.42"/>
        <n v="70.67"/>
        <n v="66.38"/>
        <n v="93.97"/>
        <n v="69.88"/>
        <n v="97.88"/>
        <n v="68.180000000000007"/>
        <n v="94.33"/>
        <n v="79.819999999999993"/>
        <n v="95.55"/>
        <n v="91.9"/>
        <n v="94.85"/>
        <n v="81.459999999999994"/>
        <n v="89.98"/>
        <n v="66.650000000000006"/>
        <n v="73.13"/>
        <n v="65.05"/>
        <n v="77.709999999999994"/>
        <n v="82.28"/>
        <n v="65.680000000000007"/>
        <n v="65.27"/>
        <n v="89.03"/>
        <n v="68.52"/>
        <n v="67.58"/>
        <n v="82.35"/>
        <n v="90.14"/>
        <n v="99.2"/>
        <n v="75.34"/>
        <n v="69.11"/>
        <n v="72.260000000000005"/>
        <n v="68.5"/>
        <n v="65.12"/>
        <n v="74.98"/>
        <n v="70.75"/>
        <n v="65.64"/>
        <n v="77.41"/>
        <n v="93.91"/>
        <n v="75.63"/>
        <n v="89.85"/>
        <n v="90.51"/>
        <n v="65.89"/>
        <n v="98.66"/>
        <n v="69.87"/>
        <n v="90.11"/>
        <n v="78.28"/>
        <n v="95.39"/>
        <n v="99.82"/>
        <n v="71.77"/>
        <n v="93.68"/>
        <n v="82.69"/>
        <n v="98.79"/>
        <n v="88.03"/>
        <n v="85.76"/>
        <n v="73.03"/>
        <n v="90.15"/>
        <n v="75.09"/>
        <n v="94.6"/>
        <n v="98.41"/>
        <n v="77.55"/>
        <n v="82.09"/>
        <n v="97.34"/>
        <n v="92.16"/>
        <n v="73.510000000000005"/>
        <n v="68.39"/>
        <n v="94.44"/>
        <n v="91.15"/>
        <n v="95.04"/>
        <n v="78.44"/>
        <n v="82.22"/>
        <n v="81.28"/>
        <n v="76.02"/>
        <n v="76.75"/>
        <n v="91.36"/>
        <n v="95.23"/>
        <n v="94.57"/>
        <n v="91.39"/>
        <n v="76.650000000000006"/>
        <n v="99.04"/>
        <n v="97.07"/>
        <n v="99"/>
        <n v="66.27"/>
        <n v="86.41"/>
        <n v="72.540000000000006"/>
        <n v="73.63"/>
        <n v="94.54"/>
        <n v="91.26"/>
        <n v="76.510000000000005"/>
        <n v="83.2"/>
        <n v="71.59"/>
        <n v="65.13"/>
        <n v="96.5"/>
        <n v="89.84"/>
        <n v="83.51"/>
        <n v="79.73"/>
        <n v="78.3"/>
        <n v="71"/>
        <n v="70.47"/>
        <n v="71.06"/>
        <n v="85.89"/>
        <n v="69.36"/>
        <n v="73.349999999999994"/>
        <n v="98.12"/>
        <n v="72.680000000000007"/>
        <n v="91.73"/>
        <n v="79.459999999999994"/>
        <n v="85.84"/>
        <n v="69.680000000000007"/>
        <n v="81.95"/>
        <n v="99.02"/>
        <n v="79.97"/>
        <n v="73.5"/>
        <n v="97.46"/>
        <n v="86.38"/>
        <n v="90.48"/>
        <n v="84.02"/>
        <n v="91.45"/>
        <n v="99.25"/>
        <n v="90.07"/>
        <n v="93.31"/>
        <n v="94.81"/>
        <n v="99.97"/>
        <n v="75.099999999999994"/>
        <n v="80.73"/>
        <n v="84"/>
        <n v="70.34"/>
        <n v="81.83"/>
        <n v="74.69"/>
        <n v="94.29"/>
        <n v="67.86"/>
        <n v="65.349999999999994"/>
        <n v="95.12"/>
        <n v="97.69"/>
        <n v="67.540000000000006"/>
        <n v="78.819999999999993"/>
        <n v="79.989999999999995"/>
        <n v="95.13"/>
        <n v="74.150000000000006"/>
        <n v="75.58"/>
        <n v="90.65"/>
        <n v="71.3"/>
        <n v="87.24"/>
        <n v="90.98"/>
        <n v="71.319999999999993"/>
        <n v="72.77"/>
        <n v="89.49"/>
        <n v="92.81"/>
        <n v="98.37"/>
        <n v="75.8"/>
        <n v="84.2"/>
        <n v="70.14"/>
        <n v="80.290000000000006"/>
        <n v="74.14"/>
        <n v="77.209999999999994"/>
        <n v="93.12"/>
        <n v="93.11"/>
        <n v="89.66"/>
        <n v="69.33"/>
        <n v="74.94"/>
        <n v="80.84"/>
        <n v="86.76"/>
        <n v="83.13"/>
        <n v="89.12"/>
        <n v="67.06"/>
        <n v="69.03"/>
        <n v="77.89"/>
        <n v="98.06"/>
        <n v="73.709999999999994"/>
        <n v="65.760000000000005"/>
        <n v="93.32"/>
        <n v="94.72"/>
        <n v="83.78"/>
        <n v="96.26"/>
        <n v="71.27"/>
        <n v="74.61"/>
        <n v="65.72"/>
        <n v="85.42"/>
        <n v="96.06"/>
        <n v="86.22"/>
        <n v="67.81"/>
        <n v="89.26"/>
        <n v="88.66"/>
        <n v="70.84"/>
        <n v="94.01"/>
        <n v="96.93"/>
        <n v="78.709999999999994"/>
        <n v="75.81"/>
        <n v="85.11"/>
        <n v="90.37"/>
        <n v="92.65"/>
        <n v="98.49"/>
        <n v="93.57"/>
        <n v="74.39"/>
        <n v="73.099999999999994"/>
        <n v="73.47"/>
        <n v="72.45"/>
        <n v="72.290000000000006"/>
        <n v="97.71"/>
        <n v="98.31"/>
        <n v="68.14"/>
        <n v="67.239999999999995"/>
        <n v="95"/>
        <n v="84.73"/>
        <n v="72.400000000000006"/>
        <n v="81.16"/>
        <n v="99.38"/>
        <n v="69.900000000000006"/>
        <n v="93.23"/>
        <n v="98.54"/>
        <n v="89.89"/>
        <n v="68.099999999999994"/>
        <n v="85.65"/>
        <n v="69.52"/>
        <n v="95.34"/>
        <n v="88.55"/>
        <n v="97.97"/>
        <n v="80.88"/>
        <n v="68.790000000000006"/>
        <n v="88.69"/>
        <n v="84.83"/>
        <n v="77.180000000000007"/>
        <n v="79.45"/>
        <n v="92.87"/>
        <n v="97.14"/>
        <n v="67.73"/>
        <n v="94.83"/>
        <n v="66.94"/>
        <n v="98.44"/>
        <n v="94.17"/>
        <n v="94.14"/>
        <n v="97.05"/>
        <n v="97.24"/>
        <n v="72.67"/>
        <n v="97.81"/>
        <n v="66.680000000000007"/>
        <n v="95.85"/>
        <n v="80.98"/>
        <n v="94.09"/>
        <n v="74.56"/>
        <n v="91.42"/>
        <n v="93.16"/>
        <n v="67.83"/>
        <n v="97"/>
        <n v="93.6"/>
        <n v="89.78"/>
        <n v="77.099999999999994"/>
        <n v="81.47"/>
        <n v="70.16"/>
        <n v="92.4"/>
        <n v="69.67"/>
        <n v="94.03"/>
        <n v="66.31"/>
        <n v="93.17"/>
        <n v="95.28"/>
        <n v="82.93"/>
        <n v="78.25"/>
        <n v="67.92"/>
        <n v="93.99"/>
        <n v="77.02"/>
        <n v="76.47"/>
        <n v="96.92"/>
        <n v="96.1"/>
        <n v="94.61"/>
        <n v="86.43"/>
        <n v="83.83"/>
        <n v="75.709999999999994"/>
        <n v="82.16"/>
        <n v="74.569999999999993"/>
        <n v="80.95"/>
        <n v="91.91"/>
        <n v="86.89"/>
        <n v="88.82"/>
        <n v="96.23"/>
        <n v="66.849999999999994"/>
        <n v="71.959999999999994"/>
        <n v="90.35"/>
        <n v="79.290000000000006"/>
        <n v="87.76"/>
        <n v="96.42"/>
        <n v="90.76"/>
        <n v="97.66"/>
        <n v="70.319999999999993"/>
        <n v="91.48"/>
        <n v="89.59"/>
        <n v="65.260000000000005"/>
        <n v="66.180000000000007"/>
        <n v="83.47"/>
        <n v="92.18"/>
        <n v="79.19"/>
        <n v="65.11"/>
        <n v="71.12"/>
        <n v="73.56"/>
        <n v="94.87"/>
        <n v="77.959999999999994"/>
        <n v="83.25"/>
        <n v="82.14"/>
        <n v="69.709999999999994"/>
        <n v="77.819999999999993"/>
        <n v="99.99"/>
        <n v="84.74"/>
        <n v="84.22"/>
        <n v="74.209999999999994"/>
        <n v="84.82"/>
        <n v="90.49"/>
        <n v="68.7"/>
        <n v="74.75"/>
        <n v="72.31"/>
        <n v="91.07"/>
        <n v="97.75"/>
        <n v="79.86"/>
        <n v="87.16"/>
        <n v="66.09"/>
        <n v="69.599999999999994"/>
        <n v="78.459999999999994"/>
        <n v="88.25"/>
        <n v="87.41"/>
        <n v="71.73"/>
        <n v="69.650000000000006"/>
        <n v="97.83"/>
        <n v="77.44"/>
        <n v="81.12"/>
        <n v="68.34"/>
        <n v="96.86"/>
        <n v="88.38"/>
        <n v="82.85"/>
        <n v="80.09"/>
        <n v="66.8"/>
        <n v="72.5"/>
        <n v="94.96"/>
        <n v="86.78"/>
        <n v="71.790000000000006"/>
        <n v="71.62"/>
        <n v="77.25"/>
        <n v="86.54"/>
        <n v="83.98"/>
        <n v="83.45"/>
        <n v="95.41"/>
        <n v="94.58"/>
        <n v="78.739999999999995"/>
        <n v="74.430000000000007"/>
        <n v="98.45"/>
        <n v="86.64"/>
        <n v="74.52"/>
        <n v="99.26"/>
        <n v="96.01"/>
        <n v="71.98"/>
        <n v="74.459999999999994"/>
        <n v="96.41"/>
        <n v="71.599999999999994"/>
        <n v="86.3"/>
        <n v="70.150000000000006"/>
        <n v="85.04"/>
        <n v="85.14"/>
        <n v="85.87"/>
        <n v="93.74"/>
        <n v="98.97"/>
        <n v="74.73"/>
        <n v="95.29"/>
        <n v="75.260000000000005"/>
        <n v="92.49"/>
        <n v="69.81"/>
        <n v="67.16"/>
        <n v="78.53"/>
        <n v="69.540000000000006"/>
        <n v="67.78"/>
        <n v="85.61"/>
        <n v="71.44"/>
        <n v="75.53"/>
        <n v="90.52"/>
        <n v="68.25"/>
        <n v="99.79"/>
        <n v="84.1"/>
        <n v="92.71"/>
        <n v="73.3"/>
        <n v="76.94"/>
        <n v="72.22"/>
        <n v="90.72"/>
        <n v="90"/>
        <n v="71.37"/>
        <n v="81.69"/>
        <n v="89.09"/>
        <n v="90.84"/>
        <n v="87.26"/>
        <n v="71.819999999999993"/>
        <n v="95.38"/>
        <n v="77.95"/>
        <n v="84.55"/>
        <n v="95.08"/>
        <n v="87.74"/>
        <n v="89.56"/>
        <n v="72.569999999999993"/>
        <n v="77.34"/>
        <n v="69.790000000000006"/>
        <n v="90.79"/>
        <n v="98.21"/>
        <n v="89.27"/>
      </sharedItems>
      <fieldGroup base="4">
        <rangePr autoStart="0" autoEnd="0" startNum="65" endNum="99.99" groupInterval="10"/>
        <groupItems count="6">
          <s v="&lt;65"/>
          <s v="65-75"/>
          <s v="75-85"/>
          <s v="85-95"/>
          <s v="95-105"/>
          <s v="&gt;105"/>
        </groupItems>
      </fieldGroup>
    </cacheField>
    <cacheField name="Parental_Education_Level" numFmtId="0">
      <sharedItems count="5">
        <s v="Diploma"/>
        <s v="High School"/>
        <s v="Master"/>
        <s v="Bachelor"/>
        <s v="PhD"/>
      </sharedItems>
    </cacheField>
    <cacheField name="Family_Income_Level" numFmtId="0">
      <sharedItems/>
    </cacheField>
    <cacheField name="Internet_Access" numFmtId="0">
      <sharedItems/>
    </cacheField>
    <cacheField name="Previous_Grade" numFmtId="0">
      <sharedItems containsSemiMixedTypes="0" containsString="0" containsNumber="1" containsInteger="1" minValue="45" maxValue="99"/>
    </cacheField>
    <cacheField name="Sleep_Hours_Per_Night" numFmtId="0">
      <sharedItems containsSemiMixedTypes="0" containsString="0" containsNumber="1" minValue="4" maxValue="9"/>
    </cacheField>
    <cacheField name="Final_Exam_Score" numFmtId="0">
      <sharedItems containsSemiMixedTypes="0" containsString="0" containsNumber="1" minValue="40" maxValue="75.579391125995798"/>
    </cacheField>
    <cacheField name="Extracurricular_Participation" numFmtId="0">
      <sharedItems/>
    </cacheField>
  </cacheFields>
  <extLst>
    <ext xmlns:x14="http://schemas.microsoft.com/office/spreadsheetml/2009/9/main" uri="{725AE2AE-9491-48be-B2B4-4EB974FC3084}">
      <x14:pivotCacheDefinition pivotCacheId="14901777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x v="0"/>
    <x v="0"/>
    <n v="16"/>
    <x v="0"/>
    <x v="0"/>
    <x v="0"/>
    <s v="Low"/>
    <s v="Yes"/>
    <n v="47"/>
    <n v="4.2"/>
    <n v="43.808719400132702"/>
    <s v="Yes"/>
  </r>
  <r>
    <x v="1"/>
    <x v="1"/>
    <n v="16"/>
    <x v="1"/>
    <x v="1"/>
    <x v="1"/>
    <s v="Low"/>
    <s v="Yes"/>
    <n v="97"/>
    <n v="6.4"/>
    <n v="55.874396998137797"/>
    <s v="Yes"/>
  </r>
  <r>
    <x v="2"/>
    <x v="0"/>
    <n v="20"/>
    <x v="2"/>
    <x v="2"/>
    <x v="0"/>
    <s v="Low"/>
    <s v="Yes"/>
    <n v="70"/>
    <n v="8.4"/>
    <n v="49.6030335332905"/>
    <s v="Yes"/>
  </r>
  <r>
    <x v="3"/>
    <x v="0"/>
    <n v="15"/>
    <x v="3"/>
    <x v="3"/>
    <x v="2"/>
    <s v="Middle"/>
    <s v="Yes"/>
    <n v="45"/>
    <n v="8.1"/>
    <n v="40"/>
    <s v="No"/>
  </r>
  <r>
    <x v="4"/>
    <x v="0"/>
    <n v="15"/>
    <x v="4"/>
    <x v="4"/>
    <x v="0"/>
    <s v="High"/>
    <s v="No"/>
    <n v="59"/>
    <n v="7.6"/>
    <n v="40"/>
    <s v="Yes"/>
  </r>
  <r>
    <x v="5"/>
    <x v="0"/>
    <n v="17"/>
    <x v="5"/>
    <x v="5"/>
    <x v="3"/>
    <s v="High"/>
    <s v="No"/>
    <n v="48"/>
    <n v="8.3000000000000007"/>
    <n v="41.703034638256298"/>
    <s v="No"/>
  </r>
  <r>
    <x v="6"/>
    <x v="0"/>
    <n v="18"/>
    <x v="6"/>
    <x v="6"/>
    <x v="3"/>
    <s v="High"/>
    <s v="No"/>
    <n v="56"/>
    <n v="7.7"/>
    <n v="44.503041423785596"/>
    <s v="Yes"/>
  </r>
  <r>
    <x v="7"/>
    <x v="1"/>
    <n v="17"/>
    <x v="1"/>
    <x v="7"/>
    <x v="2"/>
    <s v="Middle"/>
    <s v="No"/>
    <n v="66"/>
    <n v="4.0999999999999996"/>
    <n v="45.607991122316903"/>
    <s v="No"/>
  </r>
  <r>
    <x v="8"/>
    <x v="1"/>
    <n v="16"/>
    <x v="7"/>
    <x v="8"/>
    <x v="4"/>
    <s v="High"/>
    <s v="No"/>
    <n v="68"/>
    <n v="6.4"/>
    <n v="56.086276398989497"/>
    <s v="No"/>
  </r>
  <r>
    <x v="9"/>
    <x v="0"/>
    <n v="18"/>
    <x v="8"/>
    <x v="9"/>
    <x v="3"/>
    <s v="High"/>
    <s v="Yes"/>
    <n v="77"/>
    <n v="4.0999999999999996"/>
    <n v="45.233479599135997"/>
    <s v="No"/>
  </r>
  <r>
    <x v="10"/>
    <x v="1"/>
    <n v="17"/>
    <x v="9"/>
    <x v="10"/>
    <x v="0"/>
    <s v="Low"/>
    <s v="No"/>
    <n v="61"/>
    <n v="6.8"/>
    <n v="40"/>
    <s v="Yes"/>
  </r>
  <r>
    <x v="11"/>
    <x v="1"/>
    <n v="17"/>
    <x v="1"/>
    <x v="11"/>
    <x v="2"/>
    <s v="Middle"/>
    <s v="Yes"/>
    <n v="67"/>
    <n v="5.2"/>
    <n v="40.939856723254202"/>
    <s v="Yes"/>
  </r>
  <r>
    <x v="12"/>
    <x v="0"/>
    <n v="16"/>
    <x v="10"/>
    <x v="12"/>
    <x v="4"/>
    <s v="Low"/>
    <s v="Yes"/>
    <n v="71"/>
    <n v="6.2"/>
    <n v="43.161029432695301"/>
    <s v="No"/>
  </r>
  <r>
    <x v="13"/>
    <x v="1"/>
    <n v="16"/>
    <x v="10"/>
    <x v="13"/>
    <x v="3"/>
    <s v="High"/>
    <s v="Yes"/>
    <n v="73"/>
    <n v="5"/>
    <n v="44.941214596510498"/>
    <s v="No"/>
  </r>
  <r>
    <x v="14"/>
    <x v="0"/>
    <n v="17"/>
    <x v="9"/>
    <x v="14"/>
    <x v="4"/>
    <s v="Middle"/>
    <s v="Yes"/>
    <n v="59"/>
    <n v="8.1"/>
    <n v="40"/>
    <s v="Yes"/>
  </r>
  <r>
    <x v="15"/>
    <x v="1"/>
    <n v="19"/>
    <x v="11"/>
    <x v="15"/>
    <x v="1"/>
    <s v="Middle"/>
    <s v="Yes"/>
    <n v="85"/>
    <n v="4.9000000000000004"/>
    <n v="51.998142244279698"/>
    <s v="Yes"/>
  </r>
  <r>
    <x v="16"/>
    <x v="0"/>
    <n v="20"/>
    <x v="2"/>
    <x v="16"/>
    <x v="1"/>
    <s v="Middle"/>
    <s v="Yes"/>
    <n v="65"/>
    <n v="5.6"/>
    <n v="44.854442683560599"/>
    <s v="Yes"/>
  </r>
  <r>
    <x v="17"/>
    <x v="1"/>
    <n v="19"/>
    <x v="12"/>
    <x v="17"/>
    <x v="1"/>
    <s v="Low"/>
    <s v="Yes"/>
    <n v="91"/>
    <n v="4.0999999999999996"/>
    <n v="51.660642436593399"/>
    <s v="Yes"/>
  </r>
  <r>
    <x v="18"/>
    <x v="1"/>
    <n v="17"/>
    <x v="9"/>
    <x v="18"/>
    <x v="3"/>
    <s v="Low"/>
    <s v="No"/>
    <n v="88"/>
    <n v="5.5"/>
    <n v="50.1078202525688"/>
    <s v="Yes"/>
  </r>
  <r>
    <x v="19"/>
    <x v="0"/>
    <n v="21"/>
    <x v="13"/>
    <x v="19"/>
    <x v="4"/>
    <s v="Middle"/>
    <s v="No"/>
    <n v="69"/>
    <n v="4.0999999999999996"/>
    <n v="52.173815715651898"/>
    <s v="No"/>
  </r>
  <r>
    <x v="20"/>
    <x v="0"/>
    <n v="18"/>
    <x v="7"/>
    <x v="20"/>
    <x v="3"/>
    <s v="Low"/>
    <s v="No"/>
    <n v="61"/>
    <n v="6.2"/>
    <n v="46.163934718039499"/>
    <s v="Yes"/>
  </r>
  <r>
    <x v="21"/>
    <x v="0"/>
    <n v="20"/>
    <x v="14"/>
    <x v="21"/>
    <x v="4"/>
    <s v="High"/>
    <s v="Yes"/>
    <n v="86"/>
    <n v="4.0999999999999996"/>
    <n v="50.6406918547789"/>
    <s v="No"/>
  </r>
  <r>
    <x v="22"/>
    <x v="1"/>
    <n v="19"/>
    <x v="15"/>
    <x v="22"/>
    <x v="0"/>
    <s v="Middle"/>
    <s v="Yes"/>
    <n v="57"/>
    <n v="5.9"/>
    <n v="40.389974195530797"/>
    <s v="Yes"/>
  </r>
  <r>
    <x v="23"/>
    <x v="1"/>
    <n v="21"/>
    <x v="6"/>
    <x v="23"/>
    <x v="0"/>
    <s v="High"/>
    <s v="No"/>
    <n v="87"/>
    <n v="7"/>
    <n v="54.7891142970714"/>
    <s v="Yes"/>
  </r>
  <r>
    <x v="24"/>
    <x v="1"/>
    <n v="15"/>
    <x v="13"/>
    <x v="24"/>
    <x v="3"/>
    <s v="High"/>
    <s v="No"/>
    <n v="52"/>
    <n v="8.6"/>
    <n v="42.033808474544301"/>
    <s v="Yes"/>
  </r>
  <r>
    <x v="25"/>
    <x v="0"/>
    <n v="17"/>
    <x v="16"/>
    <x v="25"/>
    <x v="4"/>
    <s v="Low"/>
    <s v="No"/>
    <n v="90"/>
    <n v="6.8"/>
    <n v="67.550906102645698"/>
    <s v="No"/>
  </r>
  <r>
    <x v="26"/>
    <x v="1"/>
    <n v="21"/>
    <x v="17"/>
    <x v="26"/>
    <x v="0"/>
    <s v="Middle"/>
    <s v="No"/>
    <n v="84"/>
    <n v="6.6"/>
    <n v="48.169012841810002"/>
    <s v="Yes"/>
  </r>
  <r>
    <x v="27"/>
    <x v="0"/>
    <n v="15"/>
    <x v="10"/>
    <x v="27"/>
    <x v="4"/>
    <s v="High"/>
    <s v="Yes"/>
    <n v="95"/>
    <n v="4.2"/>
    <n v="53.0241541220431"/>
    <s v="Yes"/>
  </r>
  <r>
    <x v="28"/>
    <x v="0"/>
    <n v="17"/>
    <x v="5"/>
    <x v="28"/>
    <x v="0"/>
    <s v="Low"/>
    <s v="Yes"/>
    <n v="79"/>
    <n v="5.9"/>
    <n v="61.858145388782198"/>
    <s v="No"/>
  </r>
  <r>
    <x v="29"/>
    <x v="0"/>
    <n v="19"/>
    <x v="9"/>
    <x v="29"/>
    <x v="4"/>
    <s v="Middle"/>
    <s v="No"/>
    <n v="95"/>
    <n v="6"/>
    <n v="61.480591339333799"/>
    <s v="Yes"/>
  </r>
  <r>
    <x v="30"/>
    <x v="0"/>
    <n v="18"/>
    <x v="18"/>
    <x v="30"/>
    <x v="3"/>
    <s v="Low"/>
    <s v="No"/>
    <n v="71"/>
    <n v="5.6"/>
    <n v="41.737780084783097"/>
    <s v="No"/>
  </r>
  <r>
    <x v="31"/>
    <x v="1"/>
    <n v="18"/>
    <x v="19"/>
    <x v="31"/>
    <x v="3"/>
    <s v="High"/>
    <s v="Yes"/>
    <n v="70"/>
    <n v="8.4"/>
    <n v="52.766293810651497"/>
    <s v="No"/>
  </r>
  <r>
    <x v="32"/>
    <x v="1"/>
    <n v="15"/>
    <x v="20"/>
    <x v="32"/>
    <x v="2"/>
    <s v="High"/>
    <s v="No"/>
    <n v="90"/>
    <n v="6"/>
    <n v="58.395107515697397"/>
    <s v="Yes"/>
  </r>
  <r>
    <x v="33"/>
    <x v="1"/>
    <n v="20"/>
    <x v="21"/>
    <x v="33"/>
    <x v="0"/>
    <s v="Middle"/>
    <s v="No"/>
    <n v="95"/>
    <n v="5.0999999999999996"/>
    <n v="67.071392074618899"/>
    <s v="No"/>
  </r>
  <r>
    <x v="34"/>
    <x v="0"/>
    <n v="21"/>
    <x v="16"/>
    <x v="34"/>
    <x v="1"/>
    <s v="High"/>
    <s v="Yes"/>
    <n v="48"/>
    <n v="7.9"/>
    <n v="40.726789016237802"/>
    <s v="No"/>
  </r>
  <r>
    <x v="35"/>
    <x v="0"/>
    <n v="20"/>
    <x v="22"/>
    <x v="35"/>
    <x v="2"/>
    <s v="High"/>
    <s v="Yes"/>
    <n v="88"/>
    <n v="8.1"/>
    <n v="51.608843186379602"/>
    <s v="No"/>
  </r>
  <r>
    <x v="36"/>
    <x v="1"/>
    <n v="15"/>
    <x v="0"/>
    <x v="36"/>
    <x v="1"/>
    <s v="High"/>
    <s v="No"/>
    <n v="73"/>
    <n v="5.7"/>
    <n v="47.112550162576099"/>
    <s v="No"/>
  </r>
  <r>
    <x v="37"/>
    <x v="0"/>
    <n v="21"/>
    <x v="11"/>
    <x v="37"/>
    <x v="0"/>
    <s v="Middle"/>
    <s v="No"/>
    <n v="85"/>
    <n v="8.1"/>
    <n v="60.171625424630797"/>
    <s v="No"/>
  </r>
  <r>
    <x v="38"/>
    <x v="0"/>
    <n v="17"/>
    <x v="14"/>
    <x v="38"/>
    <x v="3"/>
    <s v="High"/>
    <s v="No"/>
    <n v="99"/>
    <n v="7.5"/>
    <n v="59.728766948688197"/>
    <s v="No"/>
  </r>
  <r>
    <x v="39"/>
    <x v="1"/>
    <n v="15"/>
    <x v="19"/>
    <x v="39"/>
    <x v="1"/>
    <s v="High"/>
    <s v="No"/>
    <n v="46"/>
    <n v="4.5999999999999996"/>
    <n v="42.997287021951401"/>
    <s v="No"/>
  </r>
  <r>
    <x v="40"/>
    <x v="0"/>
    <n v="15"/>
    <x v="23"/>
    <x v="40"/>
    <x v="3"/>
    <s v="Low"/>
    <s v="No"/>
    <n v="93"/>
    <n v="5.8"/>
    <n v="58.875143384197202"/>
    <s v="Yes"/>
  </r>
  <r>
    <x v="41"/>
    <x v="1"/>
    <n v="21"/>
    <x v="22"/>
    <x v="41"/>
    <x v="2"/>
    <s v="Low"/>
    <s v="Yes"/>
    <n v="86"/>
    <n v="8.3000000000000007"/>
    <n v="57.622026416688101"/>
    <s v="Yes"/>
  </r>
  <r>
    <x v="42"/>
    <x v="0"/>
    <n v="19"/>
    <x v="9"/>
    <x v="42"/>
    <x v="2"/>
    <s v="High"/>
    <s v="No"/>
    <n v="54"/>
    <n v="5.9"/>
    <n v="40"/>
    <s v="Yes"/>
  </r>
  <r>
    <x v="43"/>
    <x v="1"/>
    <n v="20"/>
    <x v="17"/>
    <x v="43"/>
    <x v="3"/>
    <s v="High"/>
    <s v="No"/>
    <n v="45"/>
    <n v="8.3000000000000007"/>
    <n v="43.534506308987197"/>
    <s v="Yes"/>
  </r>
  <r>
    <x v="44"/>
    <x v="1"/>
    <n v="18"/>
    <x v="8"/>
    <x v="44"/>
    <x v="4"/>
    <s v="Low"/>
    <s v="Yes"/>
    <n v="72"/>
    <n v="6.2"/>
    <n v="44.6467180134253"/>
    <s v="No"/>
  </r>
  <r>
    <x v="45"/>
    <x v="1"/>
    <n v="17"/>
    <x v="11"/>
    <x v="45"/>
    <x v="0"/>
    <s v="Middle"/>
    <s v="No"/>
    <n v="74"/>
    <n v="6.8"/>
    <n v="44.604624751519097"/>
    <s v="Yes"/>
  </r>
  <r>
    <x v="46"/>
    <x v="0"/>
    <n v="19"/>
    <x v="8"/>
    <x v="46"/>
    <x v="4"/>
    <s v="Low"/>
    <s v="Yes"/>
    <n v="92"/>
    <n v="5.9"/>
    <n v="54.0675390507568"/>
    <s v="No"/>
  </r>
  <r>
    <x v="47"/>
    <x v="0"/>
    <n v="18"/>
    <x v="7"/>
    <x v="47"/>
    <x v="2"/>
    <s v="High"/>
    <s v="No"/>
    <n v="60"/>
    <n v="7.1"/>
    <n v="42.812830286034199"/>
    <s v="No"/>
  </r>
  <r>
    <x v="48"/>
    <x v="0"/>
    <n v="18"/>
    <x v="3"/>
    <x v="48"/>
    <x v="0"/>
    <s v="Middle"/>
    <s v="Yes"/>
    <n v="58"/>
    <n v="6.6"/>
    <n v="40.876930555913198"/>
    <s v="Yes"/>
  </r>
  <r>
    <x v="49"/>
    <x v="0"/>
    <n v="16"/>
    <x v="23"/>
    <x v="49"/>
    <x v="4"/>
    <s v="Middle"/>
    <s v="Yes"/>
    <n v="95"/>
    <n v="8.1999999999999993"/>
    <n v="59.372458948465102"/>
    <s v="Yes"/>
  </r>
  <r>
    <x v="50"/>
    <x v="1"/>
    <n v="16"/>
    <x v="5"/>
    <x v="50"/>
    <x v="1"/>
    <s v="Low"/>
    <s v="No"/>
    <n v="59"/>
    <n v="8.8000000000000007"/>
    <n v="61.139745803358899"/>
    <s v="No"/>
  </r>
  <r>
    <x v="51"/>
    <x v="1"/>
    <n v="15"/>
    <x v="18"/>
    <x v="51"/>
    <x v="4"/>
    <s v="High"/>
    <s v="No"/>
    <n v="68"/>
    <n v="5.4"/>
    <n v="53.3401328334661"/>
    <s v="Yes"/>
  </r>
  <r>
    <x v="52"/>
    <x v="0"/>
    <n v="15"/>
    <x v="24"/>
    <x v="52"/>
    <x v="3"/>
    <s v="Middle"/>
    <s v="Yes"/>
    <n v="73"/>
    <n v="4.8"/>
    <n v="50.671691343537702"/>
    <s v="No"/>
  </r>
  <r>
    <x v="53"/>
    <x v="0"/>
    <n v="16"/>
    <x v="14"/>
    <x v="53"/>
    <x v="1"/>
    <s v="Low"/>
    <s v="No"/>
    <n v="80"/>
    <n v="5.6"/>
    <n v="54.048401983984299"/>
    <s v="Yes"/>
  </r>
  <r>
    <x v="54"/>
    <x v="1"/>
    <n v="21"/>
    <x v="1"/>
    <x v="54"/>
    <x v="3"/>
    <s v="High"/>
    <s v="No"/>
    <n v="78"/>
    <n v="7.6"/>
    <n v="51.1672312520597"/>
    <s v="No"/>
  </r>
  <r>
    <x v="55"/>
    <x v="0"/>
    <n v="19"/>
    <x v="4"/>
    <x v="55"/>
    <x v="1"/>
    <s v="High"/>
    <s v="Yes"/>
    <n v="48"/>
    <n v="5.0999999999999996"/>
    <n v="40"/>
    <s v="Yes"/>
  </r>
  <r>
    <x v="56"/>
    <x v="1"/>
    <n v="17"/>
    <x v="9"/>
    <x v="56"/>
    <x v="2"/>
    <s v="Middle"/>
    <s v="No"/>
    <n v="72"/>
    <n v="5.6"/>
    <n v="53.291153422672998"/>
    <s v="Yes"/>
  </r>
  <r>
    <x v="57"/>
    <x v="0"/>
    <n v="19"/>
    <x v="5"/>
    <x v="57"/>
    <x v="0"/>
    <s v="High"/>
    <s v="Yes"/>
    <n v="74"/>
    <n v="8.6999999999999993"/>
    <n v="55.232441359381198"/>
    <s v="Yes"/>
  </r>
  <r>
    <x v="58"/>
    <x v="0"/>
    <n v="18"/>
    <x v="25"/>
    <x v="58"/>
    <x v="1"/>
    <s v="Low"/>
    <s v="Yes"/>
    <n v="65"/>
    <n v="7.8"/>
    <n v="40"/>
    <s v="Yes"/>
  </r>
  <r>
    <x v="59"/>
    <x v="1"/>
    <n v="18"/>
    <x v="13"/>
    <x v="59"/>
    <x v="2"/>
    <s v="High"/>
    <s v="Yes"/>
    <n v="51"/>
    <n v="8.8000000000000007"/>
    <n v="44.219741141601602"/>
    <s v="Yes"/>
  </r>
  <r>
    <x v="60"/>
    <x v="0"/>
    <n v="19"/>
    <x v="5"/>
    <x v="60"/>
    <x v="2"/>
    <s v="Low"/>
    <s v="Yes"/>
    <n v="94"/>
    <n v="4.4000000000000004"/>
    <n v="64.169008458094794"/>
    <s v="Yes"/>
  </r>
  <r>
    <x v="61"/>
    <x v="1"/>
    <n v="15"/>
    <x v="17"/>
    <x v="61"/>
    <x v="0"/>
    <s v="Middle"/>
    <s v="No"/>
    <n v="83"/>
    <n v="6.4"/>
    <n v="59.554343703511499"/>
    <s v="Yes"/>
  </r>
  <r>
    <x v="62"/>
    <x v="0"/>
    <n v="18"/>
    <x v="0"/>
    <x v="62"/>
    <x v="0"/>
    <s v="Low"/>
    <s v="Yes"/>
    <n v="95"/>
    <n v="8.5"/>
    <n v="53.494472246366698"/>
    <s v="Yes"/>
  </r>
  <r>
    <x v="63"/>
    <x v="1"/>
    <n v="19"/>
    <x v="24"/>
    <x v="63"/>
    <x v="1"/>
    <s v="Middle"/>
    <s v="No"/>
    <n v="75"/>
    <n v="6.2"/>
    <n v="55.379274436206998"/>
    <s v="No"/>
  </r>
  <r>
    <x v="64"/>
    <x v="0"/>
    <n v="16"/>
    <x v="16"/>
    <x v="64"/>
    <x v="2"/>
    <s v="High"/>
    <s v="No"/>
    <n v="60"/>
    <n v="7.4"/>
    <n v="46.423512923238398"/>
    <s v="Yes"/>
  </r>
  <r>
    <x v="65"/>
    <x v="0"/>
    <n v="21"/>
    <x v="1"/>
    <x v="65"/>
    <x v="2"/>
    <s v="Low"/>
    <s v="No"/>
    <n v="73"/>
    <n v="4.9000000000000004"/>
    <n v="46.360473324748497"/>
    <s v="No"/>
  </r>
  <r>
    <x v="66"/>
    <x v="0"/>
    <n v="21"/>
    <x v="5"/>
    <x v="66"/>
    <x v="0"/>
    <s v="Low"/>
    <s v="Yes"/>
    <n v="76"/>
    <n v="5.2"/>
    <n v="56.497080030284998"/>
    <s v="Yes"/>
  </r>
  <r>
    <x v="67"/>
    <x v="0"/>
    <n v="17"/>
    <x v="0"/>
    <x v="67"/>
    <x v="3"/>
    <s v="Middle"/>
    <s v="Yes"/>
    <n v="58"/>
    <n v="6.1"/>
    <n v="40"/>
    <s v="Yes"/>
  </r>
  <r>
    <x v="68"/>
    <x v="1"/>
    <n v="19"/>
    <x v="26"/>
    <x v="68"/>
    <x v="0"/>
    <s v="Middle"/>
    <s v="Yes"/>
    <n v="58"/>
    <n v="5.6"/>
    <n v="45.469367263613897"/>
    <s v="Yes"/>
  </r>
  <r>
    <x v="69"/>
    <x v="0"/>
    <n v="20"/>
    <x v="14"/>
    <x v="69"/>
    <x v="3"/>
    <s v="Middle"/>
    <s v="No"/>
    <n v="93"/>
    <n v="7.2"/>
    <n v="49.252766263942"/>
    <s v="Yes"/>
  </r>
  <r>
    <x v="70"/>
    <x v="0"/>
    <n v="17"/>
    <x v="4"/>
    <x v="70"/>
    <x v="3"/>
    <s v="High"/>
    <s v="Yes"/>
    <n v="75"/>
    <n v="8.1"/>
    <n v="52.608381494519101"/>
    <s v="Yes"/>
  </r>
  <r>
    <x v="71"/>
    <x v="1"/>
    <n v="15"/>
    <x v="3"/>
    <x v="71"/>
    <x v="4"/>
    <s v="Low"/>
    <s v="Yes"/>
    <n v="84"/>
    <n v="5.8"/>
    <n v="48.779510698386602"/>
    <s v="No"/>
  </r>
  <r>
    <x v="72"/>
    <x v="1"/>
    <n v="19"/>
    <x v="26"/>
    <x v="72"/>
    <x v="3"/>
    <s v="Middle"/>
    <s v="Yes"/>
    <n v="48"/>
    <n v="7.8"/>
    <n v="46.640868416553602"/>
    <s v="Yes"/>
  </r>
  <r>
    <x v="73"/>
    <x v="1"/>
    <n v="15"/>
    <x v="1"/>
    <x v="73"/>
    <x v="0"/>
    <s v="High"/>
    <s v="Yes"/>
    <n v="56"/>
    <n v="5.4"/>
    <n v="44.767390511420899"/>
    <s v="No"/>
  </r>
  <r>
    <x v="74"/>
    <x v="1"/>
    <n v="21"/>
    <x v="15"/>
    <x v="74"/>
    <x v="1"/>
    <s v="High"/>
    <s v="No"/>
    <n v="88"/>
    <n v="6"/>
    <n v="56.531946666326697"/>
    <s v="No"/>
  </r>
  <r>
    <x v="75"/>
    <x v="0"/>
    <n v="18"/>
    <x v="4"/>
    <x v="75"/>
    <x v="2"/>
    <s v="High"/>
    <s v="Yes"/>
    <n v="91"/>
    <n v="4.2"/>
    <n v="54.9609692835079"/>
    <s v="Yes"/>
  </r>
  <r>
    <x v="76"/>
    <x v="0"/>
    <n v="20"/>
    <x v="27"/>
    <x v="12"/>
    <x v="0"/>
    <s v="Low"/>
    <s v="No"/>
    <n v="89"/>
    <n v="4.7"/>
    <n v="48.529102174259997"/>
    <s v="No"/>
  </r>
  <r>
    <x v="77"/>
    <x v="0"/>
    <n v="17"/>
    <x v="18"/>
    <x v="76"/>
    <x v="1"/>
    <s v="High"/>
    <s v="No"/>
    <n v="96"/>
    <n v="4.5999999999999996"/>
    <n v="51.5030414411358"/>
    <s v="No"/>
  </r>
  <r>
    <x v="78"/>
    <x v="0"/>
    <n v="17"/>
    <x v="15"/>
    <x v="77"/>
    <x v="3"/>
    <s v="High"/>
    <s v="Yes"/>
    <n v="75"/>
    <n v="6.9"/>
    <n v="52.446167902493002"/>
    <s v="Yes"/>
  </r>
  <r>
    <x v="79"/>
    <x v="1"/>
    <n v="21"/>
    <x v="26"/>
    <x v="78"/>
    <x v="4"/>
    <s v="Low"/>
    <s v="Yes"/>
    <n v="88"/>
    <n v="7.1"/>
    <n v="60.105876977983698"/>
    <s v="No"/>
  </r>
  <r>
    <x v="80"/>
    <x v="1"/>
    <n v="18"/>
    <x v="21"/>
    <x v="79"/>
    <x v="0"/>
    <s v="Low"/>
    <s v="Yes"/>
    <n v="45"/>
    <n v="4.3"/>
    <n v="40"/>
    <s v="No"/>
  </r>
  <r>
    <x v="81"/>
    <x v="0"/>
    <n v="19"/>
    <x v="11"/>
    <x v="80"/>
    <x v="2"/>
    <s v="Middle"/>
    <s v="No"/>
    <n v="74"/>
    <n v="6.8"/>
    <n v="50.654939700102197"/>
    <s v="Yes"/>
  </r>
  <r>
    <x v="82"/>
    <x v="0"/>
    <n v="16"/>
    <x v="0"/>
    <x v="81"/>
    <x v="3"/>
    <s v="Middle"/>
    <s v="Yes"/>
    <n v="69"/>
    <n v="7.8"/>
    <n v="44.992810017019401"/>
    <s v="No"/>
  </r>
  <r>
    <x v="83"/>
    <x v="0"/>
    <n v="16"/>
    <x v="17"/>
    <x v="82"/>
    <x v="4"/>
    <s v="Low"/>
    <s v="No"/>
    <n v="60"/>
    <n v="6.5"/>
    <n v="40"/>
    <s v="Yes"/>
  </r>
  <r>
    <x v="84"/>
    <x v="0"/>
    <n v="20"/>
    <x v="16"/>
    <x v="83"/>
    <x v="4"/>
    <s v="Low"/>
    <s v="Yes"/>
    <n v="98"/>
    <n v="6.3"/>
    <n v="58.754339230461802"/>
    <s v="Yes"/>
  </r>
  <r>
    <x v="85"/>
    <x v="1"/>
    <n v="17"/>
    <x v="20"/>
    <x v="84"/>
    <x v="3"/>
    <s v="High"/>
    <s v="No"/>
    <n v="97"/>
    <n v="7.2"/>
    <n v="62.490228726242897"/>
    <s v="Yes"/>
  </r>
  <r>
    <x v="86"/>
    <x v="0"/>
    <n v="19"/>
    <x v="18"/>
    <x v="85"/>
    <x v="0"/>
    <s v="Middle"/>
    <s v="Yes"/>
    <n v="81"/>
    <n v="5.9"/>
    <n v="54.286774629236703"/>
    <s v="Yes"/>
  </r>
  <r>
    <x v="87"/>
    <x v="1"/>
    <n v="17"/>
    <x v="0"/>
    <x v="86"/>
    <x v="3"/>
    <s v="High"/>
    <s v="No"/>
    <n v="55"/>
    <n v="7"/>
    <n v="47.000767486343797"/>
    <s v="No"/>
  </r>
  <r>
    <x v="88"/>
    <x v="1"/>
    <n v="17"/>
    <x v="22"/>
    <x v="87"/>
    <x v="3"/>
    <s v="High"/>
    <s v="Yes"/>
    <n v="96"/>
    <n v="8.6"/>
    <n v="61.818449415933401"/>
    <s v="No"/>
  </r>
  <r>
    <x v="89"/>
    <x v="0"/>
    <n v="15"/>
    <x v="13"/>
    <x v="88"/>
    <x v="0"/>
    <s v="Middle"/>
    <s v="No"/>
    <n v="87"/>
    <n v="8.3000000000000007"/>
    <n v="54.409730448324602"/>
    <s v="No"/>
  </r>
  <r>
    <x v="90"/>
    <x v="1"/>
    <n v="16"/>
    <x v="27"/>
    <x v="77"/>
    <x v="1"/>
    <s v="Middle"/>
    <s v="Yes"/>
    <n v="98"/>
    <n v="7.7"/>
    <n v="73.158164421892295"/>
    <s v="No"/>
  </r>
  <r>
    <x v="91"/>
    <x v="1"/>
    <n v="19"/>
    <x v="8"/>
    <x v="89"/>
    <x v="3"/>
    <s v="High"/>
    <s v="Yes"/>
    <n v="47"/>
    <n v="8.4"/>
    <n v="40"/>
    <s v="No"/>
  </r>
  <r>
    <x v="92"/>
    <x v="1"/>
    <n v="20"/>
    <x v="14"/>
    <x v="90"/>
    <x v="0"/>
    <s v="Low"/>
    <s v="Yes"/>
    <n v="97"/>
    <n v="5.5"/>
    <n v="61.235429035273398"/>
    <s v="No"/>
  </r>
  <r>
    <x v="93"/>
    <x v="0"/>
    <n v="17"/>
    <x v="13"/>
    <x v="91"/>
    <x v="3"/>
    <s v="Middle"/>
    <s v="No"/>
    <n v="77"/>
    <n v="7.8"/>
    <n v="51.607740723523698"/>
    <s v="Yes"/>
  </r>
  <r>
    <x v="94"/>
    <x v="1"/>
    <n v="19"/>
    <x v="13"/>
    <x v="92"/>
    <x v="3"/>
    <s v="Middle"/>
    <s v="Yes"/>
    <n v="61"/>
    <n v="5.5"/>
    <n v="43.294811503164901"/>
    <s v="Yes"/>
  </r>
  <r>
    <x v="95"/>
    <x v="1"/>
    <n v="20"/>
    <x v="7"/>
    <x v="93"/>
    <x v="2"/>
    <s v="Low"/>
    <s v="Yes"/>
    <n v="85"/>
    <n v="6.6"/>
    <n v="49.571325687557298"/>
    <s v="No"/>
  </r>
  <r>
    <x v="96"/>
    <x v="1"/>
    <n v="19"/>
    <x v="23"/>
    <x v="94"/>
    <x v="2"/>
    <s v="Low"/>
    <s v="No"/>
    <n v="60"/>
    <n v="6.4"/>
    <n v="41.161004635764002"/>
    <s v="No"/>
  </r>
  <r>
    <x v="97"/>
    <x v="0"/>
    <n v="19"/>
    <x v="26"/>
    <x v="95"/>
    <x v="3"/>
    <s v="High"/>
    <s v="Yes"/>
    <n v="79"/>
    <n v="4.2"/>
    <n v="60.968159972703802"/>
    <s v="Yes"/>
  </r>
  <r>
    <x v="98"/>
    <x v="0"/>
    <n v="16"/>
    <x v="7"/>
    <x v="96"/>
    <x v="2"/>
    <s v="Low"/>
    <s v="No"/>
    <n v="62"/>
    <n v="6.9"/>
    <n v="46.829584866100397"/>
    <s v="Yes"/>
  </r>
  <r>
    <x v="99"/>
    <x v="0"/>
    <n v="18"/>
    <x v="11"/>
    <x v="97"/>
    <x v="3"/>
    <s v="Low"/>
    <s v="No"/>
    <n v="52"/>
    <n v="6.5"/>
    <n v="40"/>
    <s v="No"/>
  </r>
  <r>
    <x v="100"/>
    <x v="1"/>
    <n v="16"/>
    <x v="2"/>
    <x v="98"/>
    <x v="0"/>
    <s v="High"/>
    <s v="Yes"/>
    <n v="63"/>
    <n v="6.6"/>
    <n v="42.1370065622054"/>
    <s v="No"/>
  </r>
  <r>
    <x v="101"/>
    <x v="0"/>
    <n v="21"/>
    <x v="2"/>
    <x v="99"/>
    <x v="3"/>
    <s v="High"/>
    <s v="No"/>
    <n v="88"/>
    <n v="4.2"/>
    <n v="57.963951620399101"/>
    <s v="Yes"/>
  </r>
  <r>
    <x v="102"/>
    <x v="0"/>
    <n v="19"/>
    <x v="25"/>
    <x v="100"/>
    <x v="3"/>
    <s v="Middle"/>
    <s v="Yes"/>
    <n v="89"/>
    <n v="5.9"/>
    <n v="56.956721903472904"/>
    <s v="No"/>
  </r>
  <r>
    <x v="103"/>
    <x v="1"/>
    <n v="16"/>
    <x v="19"/>
    <x v="101"/>
    <x v="0"/>
    <s v="Low"/>
    <s v="Yes"/>
    <n v="56"/>
    <n v="6.1"/>
    <n v="46.439072946367702"/>
    <s v="No"/>
  </r>
  <r>
    <x v="104"/>
    <x v="1"/>
    <n v="20"/>
    <x v="24"/>
    <x v="102"/>
    <x v="1"/>
    <s v="Middle"/>
    <s v="No"/>
    <n v="60"/>
    <n v="7.7"/>
    <n v="54.355617111683898"/>
    <s v="No"/>
  </r>
  <r>
    <x v="105"/>
    <x v="1"/>
    <n v="20"/>
    <x v="14"/>
    <x v="103"/>
    <x v="3"/>
    <s v="Low"/>
    <s v="Yes"/>
    <n v="76"/>
    <n v="7.7"/>
    <n v="54.283456246336002"/>
    <s v="Yes"/>
  </r>
  <r>
    <x v="106"/>
    <x v="0"/>
    <n v="15"/>
    <x v="7"/>
    <x v="104"/>
    <x v="3"/>
    <s v="Low"/>
    <s v="No"/>
    <n v="53"/>
    <n v="5.9"/>
    <n v="43.387219195231602"/>
    <s v="Yes"/>
  </r>
  <r>
    <x v="107"/>
    <x v="1"/>
    <n v="16"/>
    <x v="4"/>
    <x v="105"/>
    <x v="4"/>
    <s v="Low"/>
    <s v="Yes"/>
    <n v="81"/>
    <n v="6"/>
    <n v="44.142066131211998"/>
    <s v="No"/>
  </r>
  <r>
    <x v="108"/>
    <x v="1"/>
    <n v="19"/>
    <x v="15"/>
    <x v="106"/>
    <x v="0"/>
    <s v="Low"/>
    <s v="No"/>
    <n v="63"/>
    <n v="7.6"/>
    <n v="48.210509455000597"/>
    <s v="Yes"/>
  </r>
  <r>
    <x v="109"/>
    <x v="0"/>
    <n v="20"/>
    <x v="15"/>
    <x v="107"/>
    <x v="1"/>
    <s v="Low"/>
    <s v="No"/>
    <n v="50"/>
    <n v="6.1"/>
    <n v="40"/>
    <s v="No"/>
  </r>
  <r>
    <x v="110"/>
    <x v="0"/>
    <n v="16"/>
    <x v="14"/>
    <x v="108"/>
    <x v="3"/>
    <s v="Low"/>
    <s v="No"/>
    <n v="68"/>
    <n v="7"/>
    <n v="49.714643442892203"/>
    <s v="Yes"/>
  </r>
  <r>
    <x v="111"/>
    <x v="1"/>
    <n v="15"/>
    <x v="16"/>
    <x v="109"/>
    <x v="3"/>
    <s v="High"/>
    <s v="No"/>
    <n v="97"/>
    <n v="5.3"/>
    <n v="65.664956161603797"/>
    <s v="No"/>
  </r>
  <r>
    <x v="112"/>
    <x v="1"/>
    <n v="21"/>
    <x v="25"/>
    <x v="110"/>
    <x v="0"/>
    <s v="Low"/>
    <s v="No"/>
    <n v="49"/>
    <n v="4.3"/>
    <n v="40"/>
    <s v="Yes"/>
  </r>
  <r>
    <x v="113"/>
    <x v="0"/>
    <n v="15"/>
    <x v="21"/>
    <x v="111"/>
    <x v="1"/>
    <s v="Middle"/>
    <s v="No"/>
    <n v="74"/>
    <n v="7.5"/>
    <n v="53.273353938361304"/>
    <s v="Yes"/>
  </r>
  <r>
    <x v="114"/>
    <x v="1"/>
    <n v="21"/>
    <x v="7"/>
    <x v="112"/>
    <x v="1"/>
    <s v="Low"/>
    <s v="Yes"/>
    <n v="48"/>
    <n v="7.3"/>
    <n v="49.437150817014299"/>
    <s v="No"/>
  </r>
  <r>
    <x v="115"/>
    <x v="1"/>
    <n v="21"/>
    <x v="17"/>
    <x v="113"/>
    <x v="4"/>
    <s v="Middle"/>
    <s v="Yes"/>
    <n v="85"/>
    <n v="4.4000000000000004"/>
    <n v="64.288148493903094"/>
    <s v="No"/>
  </r>
  <r>
    <x v="116"/>
    <x v="1"/>
    <n v="16"/>
    <x v="2"/>
    <x v="114"/>
    <x v="0"/>
    <s v="Low"/>
    <s v="No"/>
    <n v="69"/>
    <n v="4.0999999999999996"/>
    <n v="42.063153531263602"/>
    <s v="No"/>
  </r>
  <r>
    <x v="117"/>
    <x v="1"/>
    <n v="19"/>
    <x v="7"/>
    <x v="115"/>
    <x v="3"/>
    <s v="Low"/>
    <s v="Yes"/>
    <n v="94"/>
    <n v="4"/>
    <n v="41.771778856826998"/>
    <s v="No"/>
  </r>
  <r>
    <x v="118"/>
    <x v="1"/>
    <n v="21"/>
    <x v="23"/>
    <x v="116"/>
    <x v="2"/>
    <s v="Middle"/>
    <s v="No"/>
    <n v="45"/>
    <n v="4.5999999999999996"/>
    <n v="40"/>
    <s v="Yes"/>
  </r>
  <r>
    <x v="119"/>
    <x v="1"/>
    <n v="19"/>
    <x v="18"/>
    <x v="117"/>
    <x v="0"/>
    <s v="High"/>
    <s v="No"/>
    <n v="58"/>
    <n v="5.0999999999999996"/>
    <n v="40"/>
    <s v="No"/>
  </r>
  <r>
    <x v="120"/>
    <x v="1"/>
    <n v="17"/>
    <x v="0"/>
    <x v="118"/>
    <x v="4"/>
    <s v="High"/>
    <s v="No"/>
    <n v="87"/>
    <n v="8.3000000000000007"/>
    <n v="52.443306726782502"/>
    <s v="Yes"/>
  </r>
  <r>
    <x v="121"/>
    <x v="0"/>
    <n v="19"/>
    <x v="3"/>
    <x v="119"/>
    <x v="1"/>
    <s v="Low"/>
    <s v="No"/>
    <n v="83"/>
    <n v="6.2"/>
    <n v="55.013939205387501"/>
    <s v="No"/>
  </r>
  <r>
    <x v="122"/>
    <x v="1"/>
    <n v="21"/>
    <x v="12"/>
    <x v="120"/>
    <x v="4"/>
    <s v="High"/>
    <s v="Yes"/>
    <n v="61"/>
    <n v="7.3"/>
    <n v="50.911657001971101"/>
    <s v="Yes"/>
  </r>
  <r>
    <x v="123"/>
    <x v="1"/>
    <n v="20"/>
    <x v="5"/>
    <x v="121"/>
    <x v="3"/>
    <s v="High"/>
    <s v="Yes"/>
    <n v="84"/>
    <n v="8.8000000000000007"/>
    <n v="68.578562565562393"/>
    <s v="Yes"/>
  </r>
  <r>
    <x v="124"/>
    <x v="1"/>
    <n v="18"/>
    <x v="14"/>
    <x v="122"/>
    <x v="3"/>
    <s v="High"/>
    <s v="Yes"/>
    <n v="94"/>
    <n v="6.2"/>
    <n v="53.476408870659803"/>
    <s v="No"/>
  </r>
  <r>
    <x v="125"/>
    <x v="1"/>
    <n v="20"/>
    <x v="9"/>
    <x v="123"/>
    <x v="1"/>
    <s v="Low"/>
    <s v="No"/>
    <n v="76"/>
    <n v="8"/>
    <n v="49.398098264473902"/>
    <s v="No"/>
  </r>
  <r>
    <x v="126"/>
    <x v="0"/>
    <n v="19"/>
    <x v="6"/>
    <x v="124"/>
    <x v="1"/>
    <s v="Low"/>
    <s v="Yes"/>
    <n v="60"/>
    <n v="5.9"/>
    <n v="41.381244407005902"/>
    <s v="Yes"/>
  </r>
  <r>
    <x v="127"/>
    <x v="0"/>
    <n v="21"/>
    <x v="18"/>
    <x v="125"/>
    <x v="3"/>
    <s v="Low"/>
    <s v="Yes"/>
    <n v="63"/>
    <n v="7.7"/>
    <n v="43.109132241888602"/>
    <s v="Yes"/>
  </r>
  <r>
    <x v="128"/>
    <x v="0"/>
    <n v="21"/>
    <x v="7"/>
    <x v="126"/>
    <x v="2"/>
    <s v="Middle"/>
    <s v="No"/>
    <n v="65"/>
    <n v="5.3"/>
    <n v="48.1764789252234"/>
    <s v="Yes"/>
  </r>
  <r>
    <x v="129"/>
    <x v="1"/>
    <n v="18"/>
    <x v="16"/>
    <x v="127"/>
    <x v="1"/>
    <s v="Middle"/>
    <s v="Yes"/>
    <n v="73"/>
    <n v="8.4"/>
    <n v="60.068556696729203"/>
    <s v="No"/>
  </r>
  <r>
    <x v="130"/>
    <x v="1"/>
    <n v="18"/>
    <x v="14"/>
    <x v="128"/>
    <x v="0"/>
    <s v="Low"/>
    <s v="No"/>
    <n v="87"/>
    <n v="4.3"/>
    <n v="58.5788930596093"/>
    <s v="Yes"/>
  </r>
  <r>
    <x v="131"/>
    <x v="0"/>
    <n v="17"/>
    <x v="11"/>
    <x v="129"/>
    <x v="4"/>
    <s v="High"/>
    <s v="No"/>
    <n v="96"/>
    <n v="6.3"/>
    <n v="55.693569861681901"/>
    <s v="Yes"/>
  </r>
  <r>
    <x v="132"/>
    <x v="0"/>
    <n v="20"/>
    <x v="1"/>
    <x v="130"/>
    <x v="4"/>
    <s v="Middle"/>
    <s v="Yes"/>
    <n v="45"/>
    <n v="8.9"/>
    <n v="40"/>
    <s v="Yes"/>
  </r>
  <r>
    <x v="133"/>
    <x v="1"/>
    <n v="17"/>
    <x v="9"/>
    <x v="131"/>
    <x v="0"/>
    <s v="High"/>
    <s v="No"/>
    <n v="96"/>
    <n v="4.7"/>
    <n v="59.6479367475714"/>
    <s v="No"/>
  </r>
  <r>
    <x v="134"/>
    <x v="1"/>
    <n v="19"/>
    <x v="9"/>
    <x v="132"/>
    <x v="1"/>
    <s v="High"/>
    <s v="No"/>
    <n v="69"/>
    <n v="4.5"/>
    <n v="40"/>
    <s v="Yes"/>
  </r>
  <r>
    <x v="135"/>
    <x v="0"/>
    <n v="21"/>
    <x v="24"/>
    <x v="133"/>
    <x v="2"/>
    <s v="Low"/>
    <s v="Yes"/>
    <n v="67"/>
    <n v="5.7"/>
    <n v="50.487110035566502"/>
    <s v="No"/>
  </r>
  <r>
    <x v="136"/>
    <x v="0"/>
    <n v="19"/>
    <x v="19"/>
    <x v="134"/>
    <x v="2"/>
    <s v="Low"/>
    <s v="Yes"/>
    <n v="72"/>
    <n v="4.7"/>
    <n v="49.473501185516596"/>
    <s v="Yes"/>
  </r>
  <r>
    <x v="137"/>
    <x v="0"/>
    <n v="18"/>
    <x v="10"/>
    <x v="135"/>
    <x v="0"/>
    <s v="Middle"/>
    <s v="Yes"/>
    <n v="55"/>
    <n v="7.4"/>
    <n v="45.690764048346097"/>
    <s v="Yes"/>
  </r>
  <r>
    <x v="138"/>
    <x v="1"/>
    <n v="17"/>
    <x v="25"/>
    <x v="90"/>
    <x v="3"/>
    <s v="Middle"/>
    <s v="No"/>
    <n v="94"/>
    <n v="7.1"/>
    <n v="57.0965235013932"/>
    <s v="No"/>
  </r>
  <r>
    <x v="139"/>
    <x v="0"/>
    <n v="17"/>
    <x v="10"/>
    <x v="136"/>
    <x v="1"/>
    <s v="High"/>
    <s v="Yes"/>
    <n v="70"/>
    <n v="6.6"/>
    <n v="50.378647112003399"/>
    <s v="No"/>
  </r>
  <r>
    <x v="140"/>
    <x v="1"/>
    <n v="19"/>
    <x v="17"/>
    <x v="137"/>
    <x v="1"/>
    <s v="Low"/>
    <s v="No"/>
    <n v="57"/>
    <n v="8.9"/>
    <n v="45.804313848025799"/>
    <s v="Yes"/>
  </r>
  <r>
    <x v="141"/>
    <x v="1"/>
    <n v="15"/>
    <x v="16"/>
    <x v="138"/>
    <x v="3"/>
    <s v="Low"/>
    <s v="No"/>
    <n v="88"/>
    <n v="5.6"/>
    <n v="53.656953654852401"/>
    <s v="Yes"/>
  </r>
  <r>
    <x v="142"/>
    <x v="0"/>
    <n v="15"/>
    <x v="12"/>
    <x v="139"/>
    <x v="3"/>
    <s v="Low"/>
    <s v="Yes"/>
    <n v="81"/>
    <n v="6.2"/>
    <n v="50.263034634979697"/>
    <s v="Yes"/>
  </r>
  <r>
    <x v="143"/>
    <x v="0"/>
    <n v="20"/>
    <x v="27"/>
    <x v="140"/>
    <x v="3"/>
    <s v="Low"/>
    <s v="Yes"/>
    <n v="53"/>
    <n v="6.3"/>
    <n v="41.389470493278999"/>
    <s v="No"/>
  </r>
  <r>
    <x v="144"/>
    <x v="1"/>
    <n v="21"/>
    <x v="6"/>
    <x v="141"/>
    <x v="4"/>
    <s v="High"/>
    <s v="No"/>
    <n v="97"/>
    <n v="7.5"/>
    <n v="54.370675810202997"/>
    <s v="No"/>
  </r>
  <r>
    <x v="145"/>
    <x v="0"/>
    <n v="15"/>
    <x v="24"/>
    <x v="142"/>
    <x v="0"/>
    <s v="Middle"/>
    <s v="Yes"/>
    <n v="56"/>
    <n v="5.0999999999999996"/>
    <n v="46.658362846051403"/>
    <s v="No"/>
  </r>
  <r>
    <x v="146"/>
    <x v="1"/>
    <n v="17"/>
    <x v="13"/>
    <x v="143"/>
    <x v="2"/>
    <s v="Middle"/>
    <s v="Yes"/>
    <n v="96"/>
    <n v="7.8"/>
    <n v="55.584739755073002"/>
    <s v="No"/>
  </r>
  <r>
    <x v="147"/>
    <x v="1"/>
    <n v="15"/>
    <x v="17"/>
    <x v="144"/>
    <x v="4"/>
    <s v="Middle"/>
    <s v="Yes"/>
    <n v="96"/>
    <n v="4.9000000000000004"/>
    <n v="64.250142956814202"/>
    <s v="Yes"/>
  </r>
  <r>
    <x v="148"/>
    <x v="1"/>
    <n v="20"/>
    <x v="4"/>
    <x v="145"/>
    <x v="2"/>
    <s v="Middle"/>
    <s v="Yes"/>
    <n v="69"/>
    <n v="8.9"/>
    <n v="50.751463975015398"/>
    <s v="Yes"/>
  </r>
  <r>
    <x v="149"/>
    <x v="1"/>
    <n v="21"/>
    <x v="19"/>
    <x v="146"/>
    <x v="1"/>
    <s v="High"/>
    <s v="No"/>
    <n v="49"/>
    <n v="8.8000000000000007"/>
    <n v="40"/>
    <s v="Yes"/>
  </r>
  <r>
    <x v="150"/>
    <x v="0"/>
    <n v="20"/>
    <x v="16"/>
    <x v="147"/>
    <x v="1"/>
    <s v="High"/>
    <s v="Yes"/>
    <n v="49"/>
    <n v="6"/>
    <n v="41.323351630455697"/>
    <s v="No"/>
  </r>
  <r>
    <x v="151"/>
    <x v="1"/>
    <n v="21"/>
    <x v="26"/>
    <x v="148"/>
    <x v="1"/>
    <s v="Middle"/>
    <s v="No"/>
    <n v="75"/>
    <n v="8.4"/>
    <n v="58.966550561905699"/>
    <s v="No"/>
  </r>
  <r>
    <x v="152"/>
    <x v="0"/>
    <n v="15"/>
    <x v="18"/>
    <x v="149"/>
    <x v="4"/>
    <s v="High"/>
    <s v="Yes"/>
    <n v="74"/>
    <n v="6"/>
    <n v="54.836766425857803"/>
    <s v="No"/>
  </r>
  <r>
    <x v="153"/>
    <x v="1"/>
    <n v="19"/>
    <x v="13"/>
    <x v="150"/>
    <x v="1"/>
    <s v="Middle"/>
    <s v="No"/>
    <n v="73"/>
    <n v="6.7"/>
    <n v="66.739606398030404"/>
    <s v="Yes"/>
  </r>
  <r>
    <x v="154"/>
    <x v="0"/>
    <n v="19"/>
    <x v="5"/>
    <x v="151"/>
    <x v="2"/>
    <s v="Middle"/>
    <s v="No"/>
    <n v="59"/>
    <n v="7.7"/>
    <n v="55.073614210009303"/>
    <s v="Yes"/>
  </r>
  <r>
    <x v="155"/>
    <x v="0"/>
    <n v="16"/>
    <x v="5"/>
    <x v="152"/>
    <x v="2"/>
    <s v="Low"/>
    <s v="Yes"/>
    <n v="81"/>
    <n v="7.8"/>
    <n v="52.2679743617852"/>
    <s v="Yes"/>
  </r>
  <r>
    <x v="156"/>
    <x v="1"/>
    <n v="15"/>
    <x v="2"/>
    <x v="153"/>
    <x v="3"/>
    <s v="Low"/>
    <s v="No"/>
    <n v="65"/>
    <n v="8.4"/>
    <n v="42.932271092891"/>
    <s v="Yes"/>
  </r>
  <r>
    <x v="157"/>
    <x v="1"/>
    <n v="18"/>
    <x v="17"/>
    <x v="154"/>
    <x v="1"/>
    <s v="High"/>
    <s v="No"/>
    <n v="87"/>
    <n v="6.3"/>
    <n v="63.977761032732701"/>
    <s v="Yes"/>
  </r>
  <r>
    <x v="158"/>
    <x v="0"/>
    <n v="15"/>
    <x v="24"/>
    <x v="155"/>
    <x v="2"/>
    <s v="Low"/>
    <s v="No"/>
    <n v="64"/>
    <n v="7"/>
    <n v="49.650183265610103"/>
    <s v="Yes"/>
  </r>
  <r>
    <x v="159"/>
    <x v="1"/>
    <n v="15"/>
    <x v="5"/>
    <x v="156"/>
    <x v="1"/>
    <s v="Low"/>
    <s v="No"/>
    <n v="70"/>
    <n v="6.8"/>
    <n v="62.334732681201899"/>
    <s v="No"/>
  </r>
  <r>
    <x v="160"/>
    <x v="1"/>
    <n v="20"/>
    <x v="10"/>
    <x v="157"/>
    <x v="0"/>
    <s v="High"/>
    <s v="No"/>
    <n v="78"/>
    <n v="6.5"/>
    <n v="43.754870345507499"/>
    <s v="Yes"/>
  </r>
  <r>
    <x v="161"/>
    <x v="1"/>
    <n v="20"/>
    <x v="15"/>
    <x v="158"/>
    <x v="4"/>
    <s v="High"/>
    <s v="No"/>
    <n v="47"/>
    <n v="7.5"/>
    <n v="40"/>
    <s v="Yes"/>
  </r>
  <r>
    <x v="162"/>
    <x v="0"/>
    <n v="21"/>
    <x v="1"/>
    <x v="159"/>
    <x v="0"/>
    <s v="Middle"/>
    <s v="No"/>
    <n v="69"/>
    <n v="5.3"/>
    <n v="40.876037421853098"/>
    <s v="No"/>
  </r>
  <r>
    <x v="163"/>
    <x v="1"/>
    <n v="21"/>
    <x v="10"/>
    <x v="160"/>
    <x v="3"/>
    <s v="Middle"/>
    <s v="Yes"/>
    <n v="45"/>
    <n v="4.3"/>
    <n v="40"/>
    <s v="No"/>
  </r>
  <r>
    <x v="164"/>
    <x v="1"/>
    <n v="15"/>
    <x v="5"/>
    <x v="161"/>
    <x v="0"/>
    <s v="High"/>
    <s v="Yes"/>
    <n v="82"/>
    <n v="6.6"/>
    <n v="49.709010536253501"/>
    <s v="Yes"/>
  </r>
  <r>
    <x v="165"/>
    <x v="1"/>
    <n v="15"/>
    <x v="13"/>
    <x v="162"/>
    <x v="1"/>
    <s v="High"/>
    <s v="No"/>
    <n v="59"/>
    <n v="6.1"/>
    <n v="55.9703717900816"/>
    <s v="No"/>
  </r>
  <r>
    <x v="166"/>
    <x v="1"/>
    <n v="19"/>
    <x v="1"/>
    <x v="163"/>
    <x v="2"/>
    <s v="Middle"/>
    <s v="Yes"/>
    <n v="63"/>
    <n v="6.6"/>
    <n v="40"/>
    <s v="Yes"/>
  </r>
  <r>
    <x v="167"/>
    <x v="0"/>
    <n v="19"/>
    <x v="27"/>
    <x v="164"/>
    <x v="4"/>
    <s v="High"/>
    <s v="No"/>
    <n v="88"/>
    <n v="7.1"/>
    <n v="66.221668308212003"/>
    <s v="Yes"/>
  </r>
  <r>
    <x v="168"/>
    <x v="0"/>
    <n v="15"/>
    <x v="1"/>
    <x v="165"/>
    <x v="3"/>
    <s v="High"/>
    <s v="No"/>
    <n v="76"/>
    <n v="5.8"/>
    <n v="46.591645529742102"/>
    <s v="No"/>
  </r>
  <r>
    <x v="169"/>
    <x v="1"/>
    <n v="16"/>
    <x v="1"/>
    <x v="166"/>
    <x v="3"/>
    <s v="Low"/>
    <s v="No"/>
    <n v="45"/>
    <n v="5.5"/>
    <n v="40"/>
    <s v="Yes"/>
  </r>
  <r>
    <x v="170"/>
    <x v="1"/>
    <n v="16"/>
    <x v="25"/>
    <x v="167"/>
    <x v="4"/>
    <s v="High"/>
    <s v="Yes"/>
    <n v="72"/>
    <n v="7.4"/>
    <n v="40"/>
    <s v="No"/>
  </r>
  <r>
    <x v="171"/>
    <x v="0"/>
    <n v="15"/>
    <x v="16"/>
    <x v="168"/>
    <x v="2"/>
    <s v="Middle"/>
    <s v="Yes"/>
    <n v="97"/>
    <n v="6"/>
    <n v="62.554485436535401"/>
    <s v="Yes"/>
  </r>
  <r>
    <x v="172"/>
    <x v="0"/>
    <n v="18"/>
    <x v="9"/>
    <x v="169"/>
    <x v="3"/>
    <s v="High"/>
    <s v="No"/>
    <n v="63"/>
    <n v="8.1999999999999993"/>
    <n v="44.082245607836803"/>
    <s v="Yes"/>
  </r>
  <r>
    <x v="173"/>
    <x v="1"/>
    <n v="21"/>
    <x v="19"/>
    <x v="170"/>
    <x v="2"/>
    <s v="Middle"/>
    <s v="No"/>
    <n v="86"/>
    <n v="7.8"/>
    <n v="54.0449996134939"/>
    <s v="No"/>
  </r>
  <r>
    <x v="174"/>
    <x v="0"/>
    <n v="20"/>
    <x v="12"/>
    <x v="171"/>
    <x v="3"/>
    <s v="Low"/>
    <s v="No"/>
    <n v="50"/>
    <n v="8.5"/>
    <n v="45.935604894719702"/>
    <s v="No"/>
  </r>
  <r>
    <x v="175"/>
    <x v="0"/>
    <n v="20"/>
    <x v="16"/>
    <x v="172"/>
    <x v="2"/>
    <s v="Low"/>
    <s v="Yes"/>
    <n v="47"/>
    <n v="4.5"/>
    <n v="55.483143664341398"/>
    <s v="Yes"/>
  </r>
  <r>
    <x v="176"/>
    <x v="0"/>
    <n v="19"/>
    <x v="4"/>
    <x v="18"/>
    <x v="1"/>
    <s v="High"/>
    <s v="No"/>
    <n v="73"/>
    <n v="4.8"/>
    <n v="58.121029820901299"/>
    <s v="Yes"/>
  </r>
  <r>
    <x v="177"/>
    <x v="1"/>
    <n v="20"/>
    <x v="18"/>
    <x v="173"/>
    <x v="3"/>
    <s v="Middle"/>
    <s v="Yes"/>
    <n v="85"/>
    <n v="7"/>
    <n v="52.913180995371803"/>
    <s v="No"/>
  </r>
  <r>
    <x v="178"/>
    <x v="0"/>
    <n v="21"/>
    <x v="1"/>
    <x v="174"/>
    <x v="0"/>
    <s v="High"/>
    <s v="No"/>
    <n v="49"/>
    <n v="7.5"/>
    <n v="40"/>
    <s v="No"/>
  </r>
  <r>
    <x v="179"/>
    <x v="1"/>
    <n v="17"/>
    <x v="27"/>
    <x v="175"/>
    <x v="3"/>
    <s v="Middle"/>
    <s v="No"/>
    <n v="57"/>
    <n v="5.0999999999999996"/>
    <n v="42.455830445516597"/>
    <s v="No"/>
  </r>
  <r>
    <x v="180"/>
    <x v="1"/>
    <n v="18"/>
    <x v="17"/>
    <x v="176"/>
    <x v="2"/>
    <s v="High"/>
    <s v="No"/>
    <n v="88"/>
    <n v="4.0999999999999996"/>
    <n v="53.536824421483502"/>
    <s v="No"/>
  </r>
  <r>
    <x v="181"/>
    <x v="0"/>
    <n v="21"/>
    <x v="9"/>
    <x v="177"/>
    <x v="4"/>
    <s v="Low"/>
    <s v="No"/>
    <n v="56"/>
    <n v="8.3000000000000007"/>
    <n v="46.470873718837602"/>
    <s v="Yes"/>
  </r>
  <r>
    <x v="182"/>
    <x v="0"/>
    <n v="20"/>
    <x v="16"/>
    <x v="178"/>
    <x v="4"/>
    <s v="High"/>
    <s v="No"/>
    <n v="86"/>
    <n v="7.9"/>
    <n v="50.413758915555803"/>
    <s v="No"/>
  </r>
  <r>
    <x v="183"/>
    <x v="0"/>
    <n v="20"/>
    <x v="26"/>
    <x v="179"/>
    <x v="2"/>
    <s v="Middle"/>
    <s v="No"/>
    <n v="69"/>
    <n v="8.6"/>
    <n v="55.135028993901699"/>
    <s v="No"/>
  </r>
  <r>
    <x v="184"/>
    <x v="1"/>
    <n v="19"/>
    <x v="22"/>
    <x v="180"/>
    <x v="1"/>
    <s v="High"/>
    <s v="No"/>
    <n v="50"/>
    <n v="5.4"/>
    <n v="53.0379227595554"/>
    <s v="No"/>
  </r>
  <r>
    <x v="185"/>
    <x v="0"/>
    <n v="17"/>
    <x v="5"/>
    <x v="181"/>
    <x v="0"/>
    <s v="Middle"/>
    <s v="No"/>
    <n v="92"/>
    <n v="6.5"/>
    <n v="69.906103885831001"/>
    <s v="Yes"/>
  </r>
  <r>
    <x v="186"/>
    <x v="0"/>
    <n v="20"/>
    <x v="16"/>
    <x v="182"/>
    <x v="3"/>
    <s v="High"/>
    <s v="Yes"/>
    <n v="58"/>
    <n v="7.6"/>
    <n v="40"/>
    <s v="Yes"/>
  </r>
  <r>
    <x v="187"/>
    <x v="1"/>
    <n v="21"/>
    <x v="21"/>
    <x v="183"/>
    <x v="3"/>
    <s v="High"/>
    <s v="Yes"/>
    <n v="70"/>
    <n v="7.1"/>
    <n v="49.433663093256499"/>
    <s v="No"/>
  </r>
  <r>
    <x v="188"/>
    <x v="0"/>
    <n v="20"/>
    <x v="7"/>
    <x v="184"/>
    <x v="2"/>
    <s v="Middle"/>
    <s v="Yes"/>
    <n v="94"/>
    <n v="4.0999999999999996"/>
    <n v="51.973405566182599"/>
    <s v="No"/>
  </r>
  <r>
    <x v="189"/>
    <x v="0"/>
    <n v="16"/>
    <x v="11"/>
    <x v="185"/>
    <x v="3"/>
    <s v="Low"/>
    <s v="No"/>
    <n v="72"/>
    <n v="6.5"/>
    <n v="53.081990375940499"/>
    <s v="No"/>
  </r>
  <r>
    <x v="190"/>
    <x v="1"/>
    <n v="20"/>
    <x v="4"/>
    <x v="186"/>
    <x v="2"/>
    <s v="Low"/>
    <s v="Yes"/>
    <n v="66"/>
    <n v="8.9"/>
    <n v="41.3938216709182"/>
    <s v="Yes"/>
  </r>
  <r>
    <x v="191"/>
    <x v="0"/>
    <n v="20"/>
    <x v="7"/>
    <x v="187"/>
    <x v="2"/>
    <s v="Low"/>
    <s v="No"/>
    <n v="86"/>
    <n v="5.2"/>
    <n v="47.603133163983898"/>
    <s v="No"/>
  </r>
  <r>
    <x v="192"/>
    <x v="0"/>
    <n v="16"/>
    <x v="14"/>
    <x v="26"/>
    <x v="2"/>
    <s v="High"/>
    <s v="Yes"/>
    <n v="54"/>
    <n v="6.3"/>
    <n v="40"/>
    <s v="Yes"/>
  </r>
  <r>
    <x v="193"/>
    <x v="1"/>
    <n v="19"/>
    <x v="3"/>
    <x v="188"/>
    <x v="4"/>
    <s v="Middle"/>
    <s v="Yes"/>
    <n v="90"/>
    <n v="8"/>
    <n v="53.667832802137703"/>
    <s v="Yes"/>
  </r>
  <r>
    <x v="194"/>
    <x v="0"/>
    <n v="21"/>
    <x v="16"/>
    <x v="189"/>
    <x v="3"/>
    <s v="High"/>
    <s v="Yes"/>
    <n v="72"/>
    <n v="5.3"/>
    <n v="55.868629460027599"/>
    <s v="Yes"/>
  </r>
  <r>
    <x v="195"/>
    <x v="0"/>
    <n v="19"/>
    <x v="5"/>
    <x v="190"/>
    <x v="4"/>
    <s v="Middle"/>
    <s v="No"/>
    <n v="65"/>
    <n v="6"/>
    <n v="40"/>
    <s v="No"/>
  </r>
  <r>
    <x v="196"/>
    <x v="0"/>
    <n v="17"/>
    <x v="1"/>
    <x v="191"/>
    <x v="2"/>
    <s v="Low"/>
    <s v="Yes"/>
    <n v="49"/>
    <n v="7.5"/>
    <n v="40"/>
    <s v="No"/>
  </r>
  <r>
    <x v="197"/>
    <x v="0"/>
    <n v="16"/>
    <x v="2"/>
    <x v="192"/>
    <x v="2"/>
    <s v="High"/>
    <s v="No"/>
    <n v="48"/>
    <n v="6.2"/>
    <n v="40"/>
    <s v="No"/>
  </r>
  <r>
    <x v="198"/>
    <x v="1"/>
    <n v="20"/>
    <x v="23"/>
    <x v="193"/>
    <x v="2"/>
    <s v="High"/>
    <s v="Yes"/>
    <n v="55"/>
    <n v="8.8000000000000007"/>
    <n v="51.649063613753803"/>
    <s v="Yes"/>
  </r>
  <r>
    <x v="199"/>
    <x v="0"/>
    <n v="21"/>
    <x v="24"/>
    <x v="194"/>
    <x v="3"/>
    <s v="Low"/>
    <s v="Yes"/>
    <n v="65"/>
    <n v="8.3000000000000007"/>
    <n v="52.521927634365902"/>
    <s v="Yes"/>
  </r>
  <r>
    <x v="200"/>
    <x v="1"/>
    <n v="20"/>
    <x v="18"/>
    <x v="195"/>
    <x v="4"/>
    <s v="Middle"/>
    <s v="No"/>
    <n v="64"/>
    <n v="5.4"/>
    <n v="42.2882450146355"/>
    <s v="Yes"/>
  </r>
  <r>
    <x v="201"/>
    <x v="1"/>
    <n v="18"/>
    <x v="26"/>
    <x v="196"/>
    <x v="3"/>
    <s v="High"/>
    <s v="Yes"/>
    <n v="47"/>
    <n v="4"/>
    <n v="40"/>
    <s v="Yes"/>
  </r>
  <r>
    <x v="202"/>
    <x v="0"/>
    <n v="16"/>
    <x v="13"/>
    <x v="197"/>
    <x v="0"/>
    <s v="Low"/>
    <s v="No"/>
    <n v="78"/>
    <n v="6.7"/>
    <n v="52.620345643020997"/>
    <s v="No"/>
  </r>
  <r>
    <x v="203"/>
    <x v="0"/>
    <n v="17"/>
    <x v="8"/>
    <x v="198"/>
    <x v="0"/>
    <s v="Middle"/>
    <s v="No"/>
    <n v="74"/>
    <n v="8.3000000000000007"/>
    <n v="54.955289977180698"/>
    <s v="No"/>
  </r>
  <r>
    <x v="204"/>
    <x v="0"/>
    <n v="16"/>
    <x v="4"/>
    <x v="199"/>
    <x v="0"/>
    <s v="High"/>
    <s v="No"/>
    <n v="76"/>
    <n v="8.5"/>
    <n v="56.250337012232599"/>
    <s v="Yes"/>
  </r>
  <r>
    <x v="205"/>
    <x v="1"/>
    <n v="18"/>
    <x v="27"/>
    <x v="200"/>
    <x v="0"/>
    <s v="Low"/>
    <s v="No"/>
    <n v="70"/>
    <n v="4.5999999999999996"/>
    <n v="56.900087549353003"/>
    <s v="Yes"/>
  </r>
  <r>
    <x v="206"/>
    <x v="0"/>
    <n v="16"/>
    <x v="0"/>
    <x v="201"/>
    <x v="2"/>
    <s v="High"/>
    <s v="No"/>
    <n v="56"/>
    <n v="8.5"/>
    <n v="40"/>
    <s v="Yes"/>
  </r>
  <r>
    <x v="207"/>
    <x v="0"/>
    <n v="18"/>
    <x v="20"/>
    <x v="202"/>
    <x v="4"/>
    <s v="Middle"/>
    <s v="Yes"/>
    <n v="58"/>
    <n v="6.5"/>
    <n v="54.540725052896697"/>
    <s v="No"/>
  </r>
  <r>
    <x v="208"/>
    <x v="0"/>
    <n v="15"/>
    <x v="15"/>
    <x v="203"/>
    <x v="1"/>
    <s v="Low"/>
    <s v="No"/>
    <n v="91"/>
    <n v="8.9"/>
    <n v="53.092806296291997"/>
    <s v="No"/>
  </r>
  <r>
    <x v="209"/>
    <x v="1"/>
    <n v="18"/>
    <x v="6"/>
    <x v="204"/>
    <x v="1"/>
    <s v="High"/>
    <s v="No"/>
    <n v="53"/>
    <n v="8"/>
    <n v="44.717779582302903"/>
    <s v="Yes"/>
  </r>
  <r>
    <x v="210"/>
    <x v="0"/>
    <n v="20"/>
    <x v="6"/>
    <x v="205"/>
    <x v="0"/>
    <s v="Low"/>
    <s v="Yes"/>
    <n v="94"/>
    <n v="4.8"/>
    <n v="60.770520233736498"/>
    <s v="No"/>
  </r>
  <r>
    <x v="211"/>
    <x v="0"/>
    <n v="18"/>
    <x v="11"/>
    <x v="206"/>
    <x v="4"/>
    <s v="Low"/>
    <s v="No"/>
    <n v="74"/>
    <n v="6.6"/>
    <n v="41.212705915944497"/>
    <s v="No"/>
  </r>
  <r>
    <x v="212"/>
    <x v="0"/>
    <n v="19"/>
    <x v="14"/>
    <x v="207"/>
    <x v="3"/>
    <s v="Low"/>
    <s v="No"/>
    <n v="99"/>
    <n v="8.4"/>
    <n v="71.752315266826102"/>
    <s v="Yes"/>
  </r>
  <r>
    <x v="213"/>
    <x v="1"/>
    <n v="21"/>
    <x v="12"/>
    <x v="208"/>
    <x v="3"/>
    <s v="Middle"/>
    <s v="Yes"/>
    <n v="61"/>
    <n v="8.1"/>
    <n v="45.178702625462101"/>
    <s v="Yes"/>
  </r>
  <r>
    <x v="214"/>
    <x v="0"/>
    <n v="21"/>
    <x v="20"/>
    <x v="209"/>
    <x v="0"/>
    <s v="Low"/>
    <s v="No"/>
    <n v="88"/>
    <n v="8.8000000000000007"/>
    <n v="72.746996243427205"/>
    <s v="Yes"/>
  </r>
  <r>
    <x v="215"/>
    <x v="1"/>
    <n v="21"/>
    <x v="9"/>
    <x v="210"/>
    <x v="0"/>
    <s v="Middle"/>
    <s v="Yes"/>
    <n v="90"/>
    <n v="8.1999999999999993"/>
    <n v="64.906919177787998"/>
    <s v="No"/>
  </r>
  <r>
    <x v="216"/>
    <x v="1"/>
    <n v="21"/>
    <x v="20"/>
    <x v="211"/>
    <x v="3"/>
    <s v="Low"/>
    <s v="No"/>
    <n v="67"/>
    <n v="9"/>
    <n v="53.020504254132703"/>
    <s v="No"/>
  </r>
  <r>
    <x v="217"/>
    <x v="1"/>
    <n v="20"/>
    <x v="24"/>
    <x v="212"/>
    <x v="1"/>
    <s v="Low"/>
    <s v="Yes"/>
    <n v="91"/>
    <n v="6.6"/>
    <n v="51.687071602623597"/>
    <s v="No"/>
  </r>
  <r>
    <x v="218"/>
    <x v="1"/>
    <n v="16"/>
    <x v="13"/>
    <x v="213"/>
    <x v="1"/>
    <s v="High"/>
    <s v="No"/>
    <n v="62"/>
    <n v="7"/>
    <n v="57.509135484896497"/>
    <s v="No"/>
  </r>
  <r>
    <x v="219"/>
    <x v="0"/>
    <n v="16"/>
    <x v="4"/>
    <x v="214"/>
    <x v="2"/>
    <s v="Middle"/>
    <s v="Yes"/>
    <n v="49"/>
    <n v="4.3"/>
    <n v="40.394890710609502"/>
    <s v="No"/>
  </r>
  <r>
    <x v="220"/>
    <x v="1"/>
    <n v="21"/>
    <x v="5"/>
    <x v="215"/>
    <x v="1"/>
    <s v="Middle"/>
    <s v="Yes"/>
    <n v="56"/>
    <n v="6"/>
    <n v="54.4878447266343"/>
    <s v="Yes"/>
  </r>
  <r>
    <x v="221"/>
    <x v="1"/>
    <n v="21"/>
    <x v="16"/>
    <x v="185"/>
    <x v="3"/>
    <s v="Middle"/>
    <s v="No"/>
    <n v="77"/>
    <n v="5.6"/>
    <n v="63.124676923806597"/>
    <s v="No"/>
  </r>
  <r>
    <x v="222"/>
    <x v="1"/>
    <n v="21"/>
    <x v="15"/>
    <x v="179"/>
    <x v="0"/>
    <s v="Low"/>
    <s v="No"/>
    <n v="68"/>
    <n v="8.6"/>
    <n v="40"/>
    <s v="Yes"/>
  </r>
  <r>
    <x v="223"/>
    <x v="1"/>
    <n v="19"/>
    <x v="16"/>
    <x v="216"/>
    <x v="3"/>
    <s v="Middle"/>
    <s v="Yes"/>
    <n v="82"/>
    <n v="5.7"/>
    <n v="59.400152219981997"/>
    <s v="No"/>
  </r>
  <r>
    <x v="224"/>
    <x v="0"/>
    <n v="16"/>
    <x v="2"/>
    <x v="217"/>
    <x v="3"/>
    <s v="High"/>
    <s v="Yes"/>
    <n v="70"/>
    <n v="8.4"/>
    <n v="44.325369219297698"/>
    <s v="No"/>
  </r>
  <r>
    <x v="225"/>
    <x v="0"/>
    <n v="21"/>
    <x v="7"/>
    <x v="218"/>
    <x v="2"/>
    <s v="Middle"/>
    <s v="No"/>
    <n v="98"/>
    <n v="5.2"/>
    <n v="59.615443765019997"/>
    <s v="No"/>
  </r>
  <r>
    <x v="226"/>
    <x v="1"/>
    <n v="15"/>
    <x v="6"/>
    <x v="219"/>
    <x v="1"/>
    <s v="High"/>
    <s v="No"/>
    <n v="49"/>
    <n v="6.9"/>
    <n v="43.453633873494297"/>
    <s v="No"/>
  </r>
  <r>
    <x v="227"/>
    <x v="1"/>
    <n v="17"/>
    <x v="27"/>
    <x v="220"/>
    <x v="1"/>
    <s v="Middle"/>
    <s v="No"/>
    <n v="47"/>
    <n v="6.7"/>
    <n v="40"/>
    <s v="Yes"/>
  </r>
  <r>
    <x v="228"/>
    <x v="1"/>
    <n v="16"/>
    <x v="0"/>
    <x v="221"/>
    <x v="3"/>
    <s v="High"/>
    <s v="Yes"/>
    <n v="64"/>
    <n v="4.5"/>
    <n v="43.0616026183123"/>
    <s v="No"/>
  </r>
  <r>
    <x v="229"/>
    <x v="1"/>
    <n v="18"/>
    <x v="22"/>
    <x v="222"/>
    <x v="2"/>
    <s v="Low"/>
    <s v="Yes"/>
    <n v="80"/>
    <n v="5.6"/>
    <n v="50.626245515571"/>
    <s v="No"/>
  </r>
  <r>
    <x v="230"/>
    <x v="1"/>
    <n v="21"/>
    <x v="12"/>
    <x v="223"/>
    <x v="3"/>
    <s v="Low"/>
    <s v="Yes"/>
    <n v="91"/>
    <n v="8.9"/>
    <n v="56.226374653341203"/>
    <s v="No"/>
  </r>
  <r>
    <x v="231"/>
    <x v="0"/>
    <n v="15"/>
    <x v="23"/>
    <x v="224"/>
    <x v="4"/>
    <s v="Middle"/>
    <s v="Yes"/>
    <n v="96"/>
    <n v="7"/>
    <n v="57.753262285555103"/>
    <s v="Yes"/>
  </r>
  <r>
    <x v="232"/>
    <x v="0"/>
    <n v="20"/>
    <x v="5"/>
    <x v="225"/>
    <x v="4"/>
    <s v="Low"/>
    <s v="No"/>
    <n v="88"/>
    <n v="8.1"/>
    <n v="63.531174328049502"/>
    <s v="Yes"/>
  </r>
  <r>
    <x v="233"/>
    <x v="1"/>
    <n v="18"/>
    <x v="11"/>
    <x v="226"/>
    <x v="1"/>
    <s v="High"/>
    <s v="Yes"/>
    <n v="74"/>
    <n v="7.6"/>
    <n v="49.919213121944097"/>
    <s v="Yes"/>
  </r>
  <r>
    <x v="234"/>
    <x v="1"/>
    <n v="20"/>
    <x v="18"/>
    <x v="227"/>
    <x v="3"/>
    <s v="Middle"/>
    <s v="No"/>
    <n v="57"/>
    <n v="8.5"/>
    <n v="41.510480281229597"/>
    <s v="Yes"/>
  </r>
  <r>
    <x v="235"/>
    <x v="1"/>
    <n v="18"/>
    <x v="26"/>
    <x v="228"/>
    <x v="1"/>
    <s v="Low"/>
    <s v="Yes"/>
    <n v="96"/>
    <n v="5.7"/>
    <n v="56.862072227524699"/>
    <s v="Yes"/>
  </r>
  <r>
    <x v="236"/>
    <x v="0"/>
    <n v="15"/>
    <x v="19"/>
    <x v="229"/>
    <x v="4"/>
    <s v="Middle"/>
    <s v="Yes"/>
    <n v="71"/>
    <n v="5.0999999999999996"/>
    <n v="42.183143807337601"/>
    <s v="Yes"/>
  </r>
  <r>
    <x v="237"/>
    <x v="1"/>
    <n v="15"/>
    <x v="11"/>
    <x v="230"/>
    <x v="4"/>
    <s v="High"/>
    <s v="Yes"/>
    <n v="54"/>
    <n v="4.4000000000000004"/>
    <n v="40"/>
    <s v="No"/>
  </r>
  <r>
    <x v="238"/>
    <x v="0"/>
    <n v="16"/>
    <x v="23"/>
    <x v="213"/>
    <x v="3"/>
    <s v="Middle"/>
    <s v="No"/>
    <n v="98"/>
    <n v="8.1999999999999993"/>
    <n v="58.034885768310403"/>
    <s v="Yes"/>
  </r>
  <r>
    <x v="239"/>
    <x v="0"/>
    <n v="17"/>
    <x v="1"/>
    <x v="231"/>
    <x v="2"/>
    <s v="Middle"/>
    <s v="Yes"/>
    <n v="93"/>
    <n v="6.6"/>
    <n v="60.248578873819397"/>
    <s v="No"/>
  </r>
  <r>
    <x v="240"/>
    <x v="0"/>
    <n v="18"/>
    <x v="5"/>
    <x v="232"/>
    <x v="1"/>
    <s v="Low"/>
    <s v="Yes"/>
    <n v="84"/>
    <n v="7.6"/>
    <n v="62.610995759248702"/>
    <s v="Yes"/>
  </r>
  <r>
    <x v="241"/>
    <x v="1"/>
    <n v="20"/>
    <x v="2"/>
    <x v="233"/>
    <x v="3"/>
    <s v="High"/>
    <s v="No"/>
    <n v="61"/>
    <n v="4.3"/>
    <n v="42.7627206086228"/>
    <s v="No"/>
  </r>
  <r>
    <x v="242"/>
    <x v="1"/>
    <n v="18"/>
    <x v="10"/>
    <x v="234"/>
    <x v="4"/>
    <s v="High"/>
    <s v="No"/>
    <n v="84"/>
    <n v="8.1999999999999993"/>
    <n v="56.318125430913902"/>
    <s v="No"/>
  </r>
  <r>
    <x v="243"/>
    <x v="1"/>
    <n v="20"/>
    <x v="22"/>
    <x v="235"/>
    <x v="1"/>
    <s v="Low"/>
    <s v="No"/>
    <n v="90"/>
    <n v="6.9"/>
    <n v="67.482317539301206"/>
    <s v="Yes"/>
  </r>
  <r>
    <x v="244"/>
    <x v="0"/>
    <n v="15"/>
    <x v="24"/>
    <x v="197"/>
    <x v="0"/>
    <s v="High"/>
    <s v="No"/>
    <n v="99"/>
    <n v="4.5999999999999996"/>
    <n v="68.231833913228996"/>
    <s v="Yes"/>
  </r>
  <r>
    <x v="245"/>
    <x v="1"/>
    <n v="17"/>
    <x v="11"/>
    <x v="236"/>
    <x v="1"/>
    <s v="Middle"/>
    <s v="Yes"/>
    <n v="69"/>
    <n v="6.5"/>
    <n v="49.881271493030603"/>
    <s v="Yes"/>
  </r>
  <r>
    <x v="246"/>
    <x v="0"/>
    <n v="20"/>
    <x v="26"/>
    <x v="237"/>
    <x v="2"/>
    <s v="Low"/>
    <s v="Yes"/>
    <n v="68"/>
    <n v="7"/>
    <n v="55.8996297348057"/>
    <s v="No"/>
  </r>
  <r>
    <x v="247"/>
    <x v="0"/>
    <n v="18"/>
    <x v="7"/>
    <x v="238"/>
    <x v="3"/>
    <s v="Middle"/>
    <s v="No"/>
    <n v="74"/>
    <n v="5.7"/>
    <n v="58.121238460950998"/>
    <s v="No"/>
  </r>
  <r>
    <x v="248"/>
    <x v="1"/>
    <n v="21"/>
    <x v="6"/>
    <x v="239"/>
    <x v="3"/>
    <s v="Low"/>
    <s v="No"/>
    <n v="48"/>
    <n v="7.6"/>
    <n v="40"/>
    <s v="Yes"/>
  </r>
  <r>
    <x v="249"/>
    <x v="1"/>
    <n v="15"/>
    <x v="8"/>
    <x v="240"/>
    <x v="2"/>
    <s v="Low"/>
    <s v="Yes"/>
    <n v="45"/>
    <n v="6.9"/>
    <n v="40"/>
    <s v="Yes"/>
  </r>
  <r>
    <x v="250"/>
    <x v="1"/>
    <n v="21"/>
    <x v="0"/>
    <x v="241"/>
    <x v="1"/>
    <s v="Middle"/>
    <s v="No"/>
    <n v="73"/>
    <n v="8.1999999999999993"/>
    <n v="44.522523468862097"/>
    <s v="No"/>
  </r>
  <r>
    <x v="251"/>
    <x v="0"/>
    <n v="21"/>
    <x v="15"/>
    <x v="242"/>
    <x v="1"/>
    <s v="Low"/>
    <s v="Yes"/>
    <n v="58"/>
    <n v="8.3000000000000007"/>
    <n v="40"/>
    <s v="No"/>
  </r>
  <r>
    <x v="252"/>
    <x v="1"/>
    <n v="16"/>
    <x v="24"/>
    <x v="243"/>
    <x v="4"/>
    <s v="Low"/>
    <s v="No"/>
    <n v="98"/>
    <n v="4.3"/>
    <n v="75.579391125995798"/>
    <s v="No"/>
  </r>
  <r>
    <x v="253"/>
    <x v="1"/>
    <n v="16"/>
    <x v="17"/>
    <x v="244"/>
    <x v="1"/>
    <s v="Middle"/>
    <s v="Yes"/>
    <n v="87"/>
    <n v="7.2"/>
    <n v="63.403415016807799"/>
    <s v="Yes"/>
  </r>
  <r>
    <x v="254"/>
    <x v="0"/>
    <n v="19"/>
    <x v="17"/>
    <x v="245"/>
    <x v="0"/>
    <s v="Low"/>
    <s v="Yes"/>
    <n v="92"/>
    <n v="7.6"/>
    <n v="65.480998740538993"/>
    <s v="Yes"/>
  </r>
  <r>
    <x v="255"/>
    <x v="0"/>
    <n v="19"/>
    <x v="6"/>
    <x v="246"/>
    <x v="2"/>
    <s v="Middle"/>
    <s v="No"/>
    <n v="86"/>
    <n v="4.7"/>
    <n v="54.634661343178301"/>
    <s v="Yes"/>
  </r>
  <r>
    <x v="256"/>
    <x v="0"/>
    <n v="20"/>
    <x v="6"/>
    <x v="247"/>
    <x v="4"/>
    <s v="High"/>
    <s v="No"/>
    <n v="97"/>
    <n v="8.4"/>
    <n v="68.982321412869993"/>
    <s v="No"/>
  </r>
  <r>
    <x v="257"/>
    <x v="1"/>
    <n v="16"/>
    <x v="23"/>
    <x v="248"/>
    <x v="3"/>
    <s v="High"/>
    <s v="Yes"/>
    <n v="68"/>
    <n v="8.3000000000000007"/>
    <n v="40"/>
    <s v="No"/>
  </r>
  <r>
    <x v="258"/>
    <x v="0"/>
    <n v="15"/>
    <x v="14"/>
    <x v="249"/>
    <x v="2"/>
    <s v="Middle"/>
    <s v="Yes"/>
    <n v="55"/>
    <n v="4.7"/>
    <n v="45.478075985400999"/>
    <s v="Yes"/>
  </r>
  <r>
    <x v="259"/>
    <x v="1"/>
    <n v="21"/>
    <x v="20"/>
    <x v="250"/>
    <x v="3"/>
    <s v="Low"/>
    <s v="No"/>
    <n v="61"/>
    <n v="8.4"/>
    <n v="48.264893523263297"/>
    <s v="Yes"/>
  </r>
  <r>
    <x v="260"/>
    <x v="1"/>
    <n v="15"/>
    <x v="13"/>
    <x v="251"/>
    <x v="2"/>
    <s v="Middle"/>
    <s v="Yes"/>
    <n v="74"/>
    <n v="7.2"/>
    <n v="50.858032262192097"/>
    <s v="Yes"/>
  </r>
  <r>
    <x v="261"/>
    <x v="0"/>
    <n v="19"/>
    <x v="4"/>
    <x v="104"/>
    <x v="3"/>
    <s v="High"/>
    <s v="No"/>
    <n v="61"/>
    <n v="7.9"/>
    <n v="46.550509200244001"/>
    <s v="Yes"/>
  </r>
  <r>
    <x v="262"/>
    <x v="0"/>
    <n v="17"/>
    <x v="19"/>
    <x v="252"/>
    <x v="3"/>
    <s v="Middle"/>
    <s v="Yes"/>
    <n v="93"/>
    <n v="8"/>
    <n v="57.197022137108803"/>
    <s v="No"/>
  </r>
  <r>
    <x v="263"/>
    <x v="1"/>
    <n v="20"/>
    <x v="8"/>
    <x v="253"/>
    <x v="4"/>
    <s v="Middle"/>
    <s v="No"/>
    <n v="52"/>
    <n v="4.8"/>
    <n v="41.212668785805597"/>
    <s v="Yes"/>
  </r>
  <r>
    <x v="264"/>
    <x v="1"/>
    <n v="16"/>
    <x v="14"/>
    <x v="254"/>
    <x v="1"/>
    <s v="High"/>
    <s v="Yes"/>
    <n v="91"/>
    <n v="4.3"/>
    <n v="62.411540174613897"/>
    <s v="No"/>
  </r>
  <r>
    <x v="265"/>
    <x v="1"/>
    <n v="20"/>
    <x v="15"/>
    <x v="255"/>
    <x v="1"/>
    <s v="Middle"/>
    <s v="Yes"/>
    <n v="91"/>
    <n v="7.2"/>
    <n v="52.521040119231202"/>
    <s v="Yes"/>
  </r>
  <r>
    <x v="266"/>
    <x v="1"/>
    <n v="21"/>
    <x v="22"/>
    <x v="256"/>
    <x v="2"/>
    <s v="Middle"/>
    <s v="No"/>
    <n v="47"/>
    <n v="5.7"/>
    <n v="41.154639650289703"/>
    <s v="Yes"/>
  </r>
  <r>
    <x v="267"/>
    <x v="1"/>
    <n v="17"/>
    <x v="27"/>
    <x v="257"/>
    <x v="4"/>
    <s v="Middle"/>
    <s v="No"/>
    <n v="83"/>
    <n v="5.3"/>
    <n v="56.5767786026179"/>
    <s v="Yes"/>
  </r>
  <r>
    <x v="268"/>
    <x v="0"/>
    <n v="21"/>
    <x v="20"/>
    <x v="258"/>
    <x v="1"/>
    <s v="Middle"/>
    <s v="No"/>
    <n v="97"/>
    <n v="4.5999999999999996"/>
    <n v="57.547610541679703"/>
    <s v="No"/>
  </r>
  <r>
    <x v="269"/>
    <x v="1"/>
    <n v="20"/>
    <x v="6"/>
    <x v="259"/>
    <x v="3"/>
    <s v="Middle"/>
    <s v="No"/>
    <n v="58"/>
    <n v="8.3000000000000007"/>
    <n v="40"/>
    <s v="Yes"/>
  </r>
  <r>
    <x v="270"/>
    <x v="1"/>
    <n v="19"/>
    <x v="20"/>
    <x v="260"/>
    <x v="2"/>
    <s v="High"/>
    <s v="Yes"/>
    <n v="83"/>
    <n v="6.9"/>
    <n v="61.346040165548999"/>
    <s v="Yes"/>
  </r>
  <r>
    <x v="271"/>
    <x v="1"/>
    <n v="17"/>
    <x v="0"/>
    <x v="261"/>
    <x v="1"/>
    <s v="Low"/>
    <s v="Yes"/>
    <n v="88"/>
    <n v="8.1999999999999993"/>
    <n v="48.865294537190501"/>
    <s v="No"/>
  </r>
  <r>
    <x v="272"/>
    <x v="0"/>
    <n v="21"/>
    <x v="22"/>
    <x v="262"/>
    <x v="0"/>
    <s v="Middle"/>
    <s v="No"/>
    <n v="46"/>
    <n v="6.8"/>
    <n v="40"/>
    <s v="Yes"/>
  </r>
  <r>
    <x v="273"/>
    <x v="1"/>
    <n v="15"/>
    <x v="21"/>
    <x v="146"/>
    <x v="1"/>
    <s v="High"/>
    <s v="Yes"/>
    <n v="81"/>
    <n v="4.2"/>
    <n v="60.343043711700901"/>
    <s v="Yes"/>
  </r>
  <r>
    <x v="274"/>
    <x v="1"/>
    <n v="18"/>
    <x v="22"/>
    <x v="263"/>
    <x v="3"/>
    <s v="Middle"/>
    <s v="Yes"/>
    <n v="76"/>
    <n v="5.0999999999999996"/>
    <n v="46.139938753863198"/>
    <s v="Yes"/>
  </r>
  <r>
    <x v="275"/>
    <x v="0"/>
    <n v="18"/>
    <x v="17"/>
    <x v="264"/>
    <x v="4"/>
    <s v="High"/>
    <s v="No"/>
    <n v="76"/>
    <n v="8.1"/>
    <n v="58.205143964350199"/>
    <s v="Yes"/>
  </r>
  <r>
    <x v="276"/>
    <x v="0"/>
    <n v="17"/>
    <x v="3"/>
    <x v="265"/>
    <x v="2"/>
    <s v="Middle"/>
    <s v="No"/>
    <n v="77"/>
    <n v="5"/>
    <n v="49.125220136063298"/>
    <s v="No"/>
  </r>
  <r>
    <x v="277"/>
    <x v="0"/>
    <n v="18"/>
    <x v="5"/>
    <x v="266"/>
    <x v="3"/>
    <s v="Low"/>
    <s v="No"/>
    <n v="57"/>
    <n v="8.6"/>
    <n v="44.996575664458597"/>
    <s v="Yes"/>
  </r>
  <r>
    <x v="278"/>
    <x v="1"/>
    <n v="17"/>
    <x v="17"/>
    <x v="267"/>
    <x v="3"/>
    <s v="Middle"/>
    <s v="No"/>
    <n v="98"/>
    <n v="5.6"/>
    <n v="71.347127860564598"/>
    <s v="Yes"/>
  </r>
  <r>
    <x v="279"/>
    <x v="1"/>
    <n v="16"/>
    <x v="26"/>
    <x v="268"/>
    <x v="0"/>
    <s v="Low"/>
    <s v="Yes"/>
    <n v="75"/>
    <n v="6.1"/>
    <n v="56.655555463644703"/>
    <s v="Yes"/>
  </r>
  <r>
    <x v="280"/>
    <x v="0"/>
    <n v="19"/>
    <x v="12"/>
    <x v="269"/>
    <x v="3"/>
    <s v="Middle"/>
    <s v="Yes"/>
    <n v="51"/>
    <n v="7.3"/>
    <n v="43.370988972403197"/>
    <s v="No"/>
  </r>
  <r>
    <x v="281"/>
    <x v="0"/>
    <n v="17"/>
    <x v="27"/>
    <x v="270"/>
    <x v="0"/>
    <s v="Low"/>
    <s v="No"/>
    <n v="63"/>
    <n v="8"/>
    <n v="60.142147960160401"/>
    <s v="Yes"/>
  </r>
  <r>
    <x v="282"/>
    <x v="1"/>
    <n v="20"/>
    <x v="9"/>
    <x v="271"/>
    <x v="3"/>
    <s v="High"/>
    <s v="Yes"/>
    <n v="64"/>
    <n v="7.8"/>
    <n v="40"/>
    <s v="No"/>
  </r>
  <r>
    <x v="283"/>
    <x v="0"/>
    <n v="20"/>
    <x v="0"/>
    <x v="272"/>
    <x v="1"/>
    <s v="High"/>
    <s v="Yes"/>
    <n v="78"/>
    <n v="8.1"/>
    <n v="58.600188418330703"/>
    <s v="Yes"/>
  </r>
  <r>
    <x v="284"/>
    <x v="0"/>
    <n v="15"/>
    <x v="11"/>
    <x v="273"/>
    <x v="2"/>
    <s v="Middle"/>
    <s v="No"/>
    <n v="84"/>
    <n v="6.5"/>
    <n v="47.584736605751402"/>
    <s v="Yes"/>
  </r>
  <r>
    <x v="285"/>
    <x v="0"/>
    <n v="20"/>
    <x v="1"/>
    <x v="30"/>
    <x v="4"/>
    <s v="Low"/>
    <s v="No"/>
    <n v="90"/>
    <n v="5.6"/>
    <n v="49.723698279904802"/>
    <s v="No"/>
  </r>
  <r>
    <x v="286"/>
    <x v="1"/>
    <n v="19"/>
    <x v="24"/>
    <x v="274"/>
    <x v="0"/>
    <s v="Middle"/>
    <s v="No"/>
    <n v="79"/>
    <n v="5.0999999999999996"/>
    <n v="58.582755966753503"/>
    <s v="No"/>
  </r>
  <r>
    <x v="287"/>
    <x v="0"/>
    <n v="15"/>
    <x v="18"/>
    <x v="275"/>
    <x v="4"/>
    <s v="Middle"/>
    <s v="No"/>
    <n v="96"/>
    <n v="8.8000000000000007"/>
    <n v="57.781816916775298"/>
    <s v="No"/>
  </r>
  <r>
    <x v="288"/>
    <x v="1"/>
    <n v="20"/>
    <x v="5"/>
    <x v="276"/>
    <x v="2"/>
    <s v="Middle"/>
    <s v="Yes"/>
    <n v="64"/>
    <n v="6.9"/>
    <n v="52.100789796221797"/>
    <s v="Yes"/>
  </r>
  <r>
    <x v="289"/>
    <x v="1"/>
    <n v="18"/>
    <x v="14"/>
    <x v="277"/>
    <x v="0"/>
    <s v="High"/>
    <s v="No"/>
    <n v="46"/>
    <n v="8.8000000000000007"/>
    <n v="41.528283151040696"/>
    <s v="No"/>
  </r>
  <r>
    <x v="290"/>
    <x v="1"/>
    <n v="16"/>
    <x v="24"/>
    <x v="278"/>
    <x v="3"/>
    <s v="Middle"/>
    <s v="Yes"/>
    <n v="94"/>
    <n v="6.5"/>
    <n v="62.323554228966302"/>
    <s v="Yes"/>
  </r>
  <r>
    <x v="291"/>
    <x v="0"/>
    <n v="20"/>
    <x v="25"/>
    <x v="279"/>
    <x v="0"/>
    <s v="High"/>
    <s v="No"/>
    <n v="65"/>
    <n v="5.9"/>
    <n v="57.116496438070897"/>
    <s v="No"/>
  </r>
  <r>
    <x v="292"/>
    <x v="1"/>
    <n v="21"/>
    <x v="0"/>
    <x v="280"/>
    <x v="4"/>
    <s v="Middle"/>
    <s v="Yes"/>
    <n v="72"/>
    <n v="7.1"/>
    <n v="40"/>
    <s v="No"/>
  </r>
  <r>
    <x v="293"/>
    <x v="1"/>
    <n v="18"/>
    <x v="8"/>
    <x v="281"/>
    <x v="2"/>
    <s v="High"/>
    <s v="Yes"/>
    <n v="65"/>
    <n v="9"/>
    <n v="42.572434699380103"/>
    <s v="No"/>
  </r>
  <r>
    <x v="294"/>
    <x v="1"/>
    <n v="16"/>
    <x v="21"/>
    <x v="282"/>
    <x v="3"/>
    <s v="Middle"/>
    <s v="Yes"/>
    <n v="69"/>
    <n v="8.3000000000000007"/>
    <n v="53.864138003037297"/>
    <s v="Yes"/>
  </r>
  <r>
    <x v="295"/>
    <x v="0"/>
    <n v="20"/>
    <x v="11"/>
    <x v="283"/>
    <x v="1"/>
    <s v="Middle"/>
    <s v="No"/>
    <n v="89"/>
    <n v="6"/>
    <n v="45.209729043433803"/>
    <s v="No"/>
  </r>
  <r>
    <x v="296"/>
    <x v="0"/>
    <n v="17"/>
    <x v="27"/>
    <x v="284"/>
    <x v="3"/>
    <s v="High"/>
    <s v="No"/>
    <n v="82"/>
    <n v="4.2"/>
    <n v="56.724751468281099"/>
    <s v="Yes"/>
  </r>
  <r>
    <x v="297"/>
    <x v="0"/>
    <n v="19"/>
    <x v="6"/>
    <x v="285"/>
    <x v="3"/>
    <s v="High"/>
    <s v="Yes"/>
    <n v="94"/>
    <n v="6"/>
    <n v="56.152384574367197"/>
    <s v="No"/>
  </r>
  <r>
    <x v="298"/>
    <x v="0"/>
    <n v="15"/>
    <x v="25"/>
    <x v="286"/>
    <x v="1"/>
    <s v="Low"/>
    <s v="Yes"/>
    <n v="87"/>
    <n v="7.8"/>
    <n v="56.053926147251701"/>
    <s v="No"/>
  </r>
  <r>
    <x v="299"/>
    <x v="1"/>
    <n v="21"/>
    <x v="9"/>
    <x v="9"/>
    <x v="3"/>
    <s v="Middle"/>
    <s v="No"/>
    <n v="92"/>
    <n v="4"/>
    <n v="61.745045942559898"/>
    <s v="No"/>
  </r>
  <r>
    <x v="300"/>
    <x v="0"/>
    <n v="21"/>
    <x v="11"/>
    <x v="287"/>
    <x v="3"/>
    <s v="Middle"/>
    <s v="No"/>
    <n v="52"/>
    <n v="8.1999999999999993"/>
    <n v="41.0565030357727"/>
    <s v="No"/>
  </r>
  <r>
    <x v="301"/>
    <x v="1"/>
    <n v="17"/>
    <x v="3"/>
    <x v="288"/>
    <x v="4"/>
    <s v="Low"/>
    <s v="No"/>
    <n v="54"/>
    <n v="5.3"/>
    <n v="40"/>
    <s v="No"/>
  </r>
  <r>
    <x v="302"/>
    <x v="1"/>
    <n v="20"/>
    <x v="11"/>
    <x v="289"/>
    <x v="1"/>
    <s v="High"/>
    <s v="Yes"/>
    <n v="69"/>
    <n v="5.8"/>
    <n v="48.261839594516097"/>
    <s v="Yes"/>
  </r>
  <r>
    <x v="303"/>
    <x v="1"/>
    <n v="21"/>
    <x v="21"/>
    <x v="33"/>
    <x v="0"/>
    <s v="High"/>
    <s v="Yes"/>
    <n v="61"/>
    <n v="8.6"/>
    <n v="43.815393053054102"/>
    <s v="Yes"/>
  </r>
  <r>
    <x v="304"/>
    <x v="1"/>
    <n v="20"/>
    <x v="18"/>
    <x v="290"/>
    <x v="3"/>
    <s v="Low"/>
    <s v="Yes"/>
    <n v="69"/>
    <n v="5.9"/>
    <n v="49.875478890012602"/>
    <s v="No"/>
  </r>
  <r>
    <x v="305"/>
    <x v="0"/>
    <n v="15"/>
    <x v="26"/>
    <x v="291"/>
    <x v="3"/>
    <s v="Middle"/>
    <s v="Yes"/>
    <n v="87"/>
    <n v="6.4"/>
    <n v="46.752635859996502"/>
    <s v="Yes"/>
  </r>
  <r>
    <x v="306"/>
    <x v="1"/>
    <n v="16"/>
    <x v="25"/>
    <x v="292"/>
    <x v="4"/>
    <s v="Low"/>
    <s v="Yes"/>
    <n v="88"/>
    <n v="6.2"/>
    <n v="51.618368831527498"/>
    <s v="Yes"/>
  </r>
  <r>
    <x v="307"/>
    <x v="1"/>
    <n v="15"/>
    <x v="19"/>
    <x v="293"/>
    <x v="3"/>
    <s v="High"/>
    <s v="Yes"/>
    <n v="64"/>
    <n v="5.8"/>
    <n v="49.315112484318497"/>
    <s v="No"/>
  </r>
  <r>
    <x v="308"/>
    <x v="1"/>
    <n v="20"/>
    <x v="20"/>
    <x v="294"/>
    <x v="4"/>
    <s v="High"/>
    <s v="No"/>
    <n v="64"/>
    <n v="4.4000000000000004"/>
    <n v="54.792113221837297"/>
    <s v="No"/>
  </r>
  <r>
    <x v="309"/>
    <x v="1"/>
    <n v="18"/>
    <x v="21"/>
    <x v="295"/>
    <x v="4"/>
    <s v="High"/>
    <s v="Yes"/>
    <n v="69"/>
    <n v="6.1"/>
    <n v="50.386078926209002"/>
    <s v="Yes"/>
  </r>
  <r>
    <x v="310"/>
    <x v="1"/>
    <n v="15"/>
    <x v="24"/>
    <x v="296"/>
    <x v="3"/>
    <s v="Low"/>
    <s v="Yes"/>
    <n v="68"/>
    <n v="6.5"/>
    <n v="53.251062918985603"/>
    <s v="No"/>
  </r>
  <r>
    <x v="311"/>
    <x v="1"/>
    <n v="16"/>
    <x v="5"/>
    <x v="297"/>
    <x v="3"/>
    <s v="Middle"/>
    <s v="Yes"/>
    <n v="46"/>
    <n v="5.0999999999999996"/>
    <n v="50.585999360312201"/>
    <s v="No"/>
  </r>
  <r>
    <x v="312"/>
    <x v="0"/>
    <n v="21"/>
    <x v="17"/>
    <x v="298"/>
    <x v="3"/>
    <s v="High"/>
    <s v="No"/>
    <n v="78"/>
    <n v="8.1"/>
    <n v="49.116930579674502"/>
    <s v="No"/>
  </r>
  <r>
    <x v="313"/>
    <x v="0"/>
    <n v="20"/>
    <x v="25"/>
    <x v="299"/>
    <x v="1"/>
    <s v="Middle"/>
    <s v="No"/>
    <n v="49"/>
    <n v="6.5"/>
    <n v="43.5785723551977"/>
    <s v="No"/>
  </r>
  <r>
    <x v="314"/>
    <x v="1"/>
    <n v="21"/>
    <x v="3"/>
    <x v="300"/>
    <x v="2"/>
    <s v="High"/>
    <s v="Yes"/>
    <n v="99"/>
    <n v="5.2"/>
    <n v="60.013889292086297"/>
    <s v="No"/>
  </r>
  <r>
    <x v="315"/>
    <x v="0"/>
    <n v="15"/>
    <x v="6"/>
    <x v="301"/>
    <x v="2"/>
    <s v="High"/>
    <s v="No"/>
    <n v="46"/>
    <n v="4.5"/>
    <n v="40"/>
    <s v="No"/>
  </r>
  <r>
    <x v="316"/>
    <x v="0"/>
    <n v="21"/>
    <x v="20"/>
    <x v="302"/>
    <x v="4"/>
    <s v="High"/>
    <s v="Yes"/>
    <n v="45"/>
    <n v="6.9"/>
    <n v="44.282752941837202"/>
    <s v="Yes"/>
  </r>
  <r>
    <x v="317"/>
    <x v="1"/>
    <n v="19"/>
    <x v="14"/>
    <x v="303"/>
    <x v="1"/>
    <s v="High"/>
    <s v="Yes"/>
    <n v="97"/>
    <n v="6.4"/>
    <n v="64.185972297291102"/>
    <s v="Yes"/>
  </r>
  <r>
    <x v="318"/>
    <x v="0"/>
    <n v="16"/>
    <x v="1"/>
    <x v="304"/>
    <x v="1"/>
    <s v="Middle"/>
    <s v="Yes"/>
    <n v="59"/>
    <n v="7.6"/>
    <n v="43.846222415164902"/>
    <s v="No"/>
  </r>
  <r>
    <x v="319"/>
    <x v="1"/>
    <n v="19"/>
    <x v="26"/>
    <x v="305"/>
    <x v="0"/>
    <s v="Low"/>
    <s v="Yes"/>
    <n v="57"/>
    <n v="8.9"/>
    <n v="49.037654396799802"/>
    <s v="No"/>
  </r>
  <r>
    <x v="320"/>
    <x v="1"/>
    <n v="17"/>
    <x v="4"/>
    <x v="306"/>
    <x v="0"/>
    <s v="High"/>
    <s v="No"/>
    <n v="67"/>
    <n v="5"/>
    <n v="52.726716815580502"/>
    <s v="No"/>
  </r>
  <r>
    <x v="321"/>
    <x v="1"/>
    <n v="21"/>
    <x v="23"/>
    <x v="307"/>
    <x v="2"/>
    <s v="Middle"/>
    <s v="No"/>
    <n v="67"/>
    <n v="7.7"/>
    <n v="48.780084726867699"/>
    <s v="No"/>
  </r>
  <r>
    <x v="322"/>
    <x v="1"/>
    <n v="19"/>
    <x v="13"/>
    <x v="308"/>
    <x v="1"/>
    <s v="High"/>
    <s v="No"/>
    <n v="49"/>
    <n v="6.2"/>
    <n v="43.655360490285098"/>
    <s v="Yes"/>
  </r>
  <r>
    <x v="323"/>
    <x v="1"/>
    <n v="17"/>
    <x v="16"/>
    <x v="309"/>
    <x v="3"/>
    <s v="Low"/>
    <s v="No"/>
    <n v="86"/>
    <n v="6"/>
    <n v="59.158353480221102"/>
    <s v="No"/>
  </r>
  <r>
    <x v="324"/>
    <x v="1"/>
    <n v="16"/>
    <x v="24"/>
    <x v="310"/>
    <x v="4"/>
    <s v="High"/>
    <s v="No"/>
    <n v="48"/>
    <n v="5.4"/>
    <n v="51.366493822289897"/>
    <s v="Yes"/>
  </r>
  <r>
    <x v="325"/>
    <x v="0"/>
    <n v="15"/>
    <x v="5"/>
    <x v="311"/>
    <x v="0"/>
    <s v="High"/>
    <s v="No"/>
    <n v="98"/>
    <n v="5.8"/>
    <n v="70.258579015496395"/>
    <s v="Yes"/>
  </r>
  <r>
    <x v="326"/>
    <x v="1"/>
    <n v="16"/>
    <x v="17"/>
    <x v="312"/>
    <x v="3"/>
    <s v="Low"/>
    <s v="No"/>
    <n v="47"/>
    <n v="4.5999999999999996"/>
    <n v="48.746425045670399"/>
    <s v="Yes"/>
  </r>
  <r>
    <x v="327"/>
    <x v="1"/>
    <n v="18"/>
    <x v="1"/>
    <x v="313"/>
    <x v="4"/>
    <s v="High"/>
    <s v="Yes"/>
    <n v="48"/>
    <n v="6.3"/>
    <n v="43.219704753591898"/>
    <s v="No"/>
  </r>
  <r>
    <x v="328"/>
    <x v="1"/>
    <n v="16"/>
    <x v="3"/>
    <x v="314"/>
    <x v="1"/>
    <s v="Middle"/>
    <s v="Yes"/>
    <n v="70"/>
    <n v="6.9"/>
    <n v="52.7766707695138"/>
    <s v="Yes"/>
  </r>
  <r>
    <x v="329"/>
    <x v="0"/>
    <n v="16"/>
    <x v="18"/>
    <x v="315"/>
    <x v="0"/>
    <s v="High"/>
    <s v="No"/>
    <n v="64"/>
    <n v="5.4"/>
    <n v="41.654781189036299"/>
    <s v="Yes"/>
  </r>
  <r>
    <x v="330"/>
    <x v="0"/>
    <n v="20"/>
    <x v="20"/>
    <x v="316"/>
    <x v="0"/>
    <s v="Low"/>
    <s v="Yes"/>
    <n v="52"/>
    <n v="6.3"/>
    <n v="43.825654281466498"/>
    <s v="No"/>
  </r>
  <r>
    <x v="331"/>
    <x v="0"/>
    <n v="18"/>
    <x v="13"/>
    <x v="164"/>
    <x v="2"/>
    <s v="Low"/>
    <s v="No"/>
    <n v="78"/>
    <n v="6.4"/>
    <n v="57.198000528709002"/>
    <s v="No"/>
  </r>
  <r>
    <x v="332"/>
    <x v="1"/>
    <n v="21"/>
    <x v="19"/>
    <x v="317"/>
    <x v="0"/>
    <s v="High"/>
    <s v="Yes"/>
    <n v="53"/>
    <n v="7.3"/>
    <n v="40"/>
    <s v="No"/>
  </r>
  <r>
    <x v="333"/>
    <x v="1"/>
    <n v="21"/>
    <x v="7"/>
    <x v="318"/>
    <x v="1"/>
    <s v="High"/>
    <s v="No"/>
    <n v="49"/>
    <n v="6.9"/>
    <n v="40"/>
    <s v="No"/>
  </r>
  <r>
    <x v="334"/>
    <x v="0"/>
    <n v="18"/>
    <x v="3"/>
    <x v="193"/>
    <x v="2"/>
    <s v="High"/>
    <s v="No"/>
    <n v="75"/>
    <n v="8.6999999999999993"/>
    <n v="48.810521185834602"/>
    <s v="No"/>
  </r>
  <r>
    <x v="335"/>
    <x v="1"/>
    <n v="20"/>
    <x v="20"/>
    <x v="319"/>
    <x v="4"/>
    <s v="High"/>
    <s v="Yes"/>
    <n v="91"/>
    <n v="6.6"/>
    <n v="59.504699874941601"/>
    <s v="Yes"/>
  </r>
  <r>
    <x v="336"/>
    <x v="0"/>
    <n v="21"/>
    <x v="18"/>
    <x v="320"/>
    <x v="0"/>
    <s v="Low"/>
    <s v="No"/>
    <n v="79"/>
    <n v="7"/>
    <n v="51.455921096490599"/>
    <s v="Yes"/>
  </r>
  <r>
    <x v="337"/>
    <x v="0"/>
    <n v="16"/>
    <x v="25"/>
    <x v="321"/>
    <x v="2"/>
    <s v="Low"/>
    <s v="No"/>
    <n v="80"/>
    <n v="6.7"/>
    <n v="45.178364455794998"/>
    <s v="No"/>
  </r>
  <r>
    <x v="338"/>
    <x v="1"/>
    <n v="21"/>
    <x v="24"/>
    <x v="322"/>
    <x v="1"/>
    <s v="Middle"/>
    <s v="Yes"/>
    <n v="98"/>
    <n v="5.7"/>
    <n v="64.435264970984207"/>
    <s v="Yes"/>
  </r>
  <r>
    <x v="339"/>
    <x v="0"/>
    <n v="20"/>
    <x v="25"/>
    <x v="323"/>
    <x v="1"/>
    <s v="High"/>
    <s v="Yes"/>
    <n v="88"/>
    <n v="4.8"/>
    <n v="55.339715846614801"/>
    <s v="No"/>
  </r>
  <r>
    <x v="340"/>
    <x v="1"/>
    <n v="18"/>
    <x v="2"/>
    <x v="324"/>
    <x v="3"/>
    <s v="Low"/>
    <s v="No"/>
    <n v="80"/>
    <n v="4.0999999999999996"/>
    <n v="59.435191487054297"/>
    <s v="Yes"/>
  </r>
  <r>
    <x v="341"/>
    <x v="1"/>
    <n v="21"/>
    <x v="26"/>
    <x v="325"/>
    <x v="2"/>
    <s v="High"/>
    <s v="No"/>
    <n v="49"/>
    <n v="5.0999999999999996"/>
    <n v="46.267324029756097"/>
    <s v="Yes"/>
  </r>
  <r>
    <x v="342"/>
    <x v="0"/>
    <n v="20"/>
    <x v="12"/>
    <x v="326"/>
    <x v="4"/>
    <s v="Middle"/>
    <s v="No"/>
    <n v="55"/>
    <n v="6.8"/>
    <n v="40"/>
    <s v="Yes"/>
  </r>
  <r>
    <x v="343"/>
    <x v="0"/>
    <n v="20"/>
    <x v="15"/>
    <x v="327"/>
    <x v="1"/>
    <s v="Low"/>
    <s v="No"/>
    <n v="67"/>
    <n v="4.0999999999999996"/>
    <n v="46.508356270855998"/>
    <s v="Yes"/>
  </r>
  <r>
    <x v="344"/>
    <x v="0"/>
    <n v="16"/>
    <x v="16"/>
    <x v="328"/>
    <x v="1"/>
    <s v="Low"/>
    <s v="No"/>
    <n v="88"/>
    <n v="5.6"/>
    <n v="60.750691484395396"/>
    <s v="Yes"/>
  </r>
  <r>
    <x v="345"/>
    <x v="0"/>
    <n v="16"/>
    <x v="7"/>
    <x v="329"/>
    <x v="3"/>
    <s v="Middle"/>
    <s v="No"/>
    <n v="92"/>
    <n v="4.2"/>
    <n v="58.1671783992728"/>
    <s v="No"/>
  </r>
  <r>
    <x v="346"/>
    <x v="1"/>
    <n v="18"/>
    <x v="17"/>
    <x v="330"/>
    <x v="2"/>
    <s v="Middle"/>
    <s v="No"/>
    <n v="99"/>
    <n v="7.4"/>
    <n v="69.215613523562496"/>
    <s v="Yes"/>
  </r>
  <r>
    <x v="347"/>
    <x v="1"/>
    <n v="17"/>
    <x v="25"/>
    <x v="331"/>
    <x v="4"/>
    <s v="Middle"/>
    <s v="Yes"/>
    <n v="66"/>
    <n v="6.6"/>
    <n v="48.355125700414199"/>
    <s v="No"/>
  </r>
  <r>
    <x v="348"/>
    <x v="1"/>
    <n v="18"/>
    <x v="18"/>
    <x v="332"/>
    <x v="0"/>
    <s v="High"/>
    <s v="Yes"/>
    <n v="77"/>
    <n v="8.5"/>
    <n v="45.977344119540703"/>
    <s v="Yes"/>
  </r>
  <r>
    <x v="349"/>
    <x v="1"/>
    <n v="15"/>
    <x v="21"/>
    <x v="333"/>
    <x v="3"/>
    <s v="High"/>
    <s v="No"/>
    <n v="74"/>
    <n v="7.1"/>
    <n v="51.397912634157997"/>
    <s v="Yes"/>
  </r>
  <r>
    <x v="350"/>
    <x v="1"/>
    <n v="17"/>
    <x v="0"/>
    <x v="334"/>
    <x v="1"/>
    <s v="Middle"/>
    <s v="No"/>
    <n v="93"/>
    <n v="7.5"/>
    <n v="52.099424501557699"/>
    <s v="No"/>
  </r>
  <r>
    <x v="351"/>
    <x v="0"/>
    <n v="21"/>
    <x v="0"/>
    <x v="335"/>
    <x v="0"/>
    <s v="Middle"/>
    <s v="Yes"/>
    <n v="93"/>
    <n v="8.4"/>
    <n v="62.397090704702698"/>
    <s v="Yes"/>
  </r>
  <r>
    <x v="352"/>
    <x v="1"/>
    <n v="15"/>
    <x v="9"/>
    <x v="336"/>
    <x v="2"/>
    <s v="Low"/>
    <s v="Yes"/>
    <n v="96"/>
    <n v="8.5"/>
    <n v="53.0821190269223"/>
    <s v="Yes"/>
  </r>
  <r>
    <x v="353"/>
    <x v="0"/>
    <n v="18"/>
    <x v="9"/>
    <x v="337"/>
    <x v="3"/>
    <s v="Middle"/>
    <s v="No"/>
    <n v="81"/>
    <n v="5.8"/>
    <n v="53.164489306595897"/>
    <s v="Yes"/>
  </r>
  <r>
    <x v="354"/>
    <x v="1"/>
    <n v="18"/>
    <x v="17"/>
    <x v="338"/>
    <x v="4"/>
    <s v="Middle"/>
    <s v="Yes"/>
    <n v="87"/>
    <n v="6.9"/>
    <n v="66.656194264851294"/>
    <s v="Yes"/>
  </r>
  <r>
    <x v="355"/>
    <x v="1"/>
    <n v="16"/>
    <x v="19"/>
    <x v="339"/>
    <x v="1"/>
    <s v="Low"/>
    <s v="Yes"/>
    <n v="54"/>
    <n v="6"/>
    <n v="46.041330504602001"/>
    <s v="No"/>
  </r>
  <r>
    <x v="356"/>
    <x v="1"/>
    <n v="15"/>
    <x v="3"/>
    <x v="340"/>
    <x v="1"/>
    <s v="Middle"/>
    <s v="Yes"/>
    <n v="81"/>
    <n v="6.8"/>
    <n v="47.249006553540099"/>
    <s v="Yes"/>
  </r>
  <r>
    <x v="357"/>
    <x v="0"/>
    <n v="21"/>
    <x v="24"/>
    <x v="341"/>
    <x v="4"/>
    <s v="Low"/>
    <s v="Yes"/>
    <n v="78"/>
    <n v="8.6999999999999993"/>
    <n v="53.0277327527522"/>
    <s v="No"/>
  </r>
  <r>
    <x v="358"/>
    <x v="0"/>
    <n v="18"/>
    <x v="18"/>
    <x v="342"/>
    <x v="1"/>
    <s v="Middle"/>
    <s v="No"/>
    <n v="94"/>
    <n v="9"/>
    <n v="63.071132020291202"/>
    <s v="No"/>
  </r>
  <r>
    <x v="359"/>
    <x v="1"/>
    <n v="18"/>
    <x v="10"/>
    <x v="343"/>
    <x v="0"/>
    <s v="Middle"/>
    <s v="Yes"/>
    <n v="69"/>
    <n v="6.4"/>
    <n v="46.080134812778702"/>
    <s v="No"/>
  </r>
  <r>
    <x v="360"/>
    <x v="0"/>
    <n v="21"/>
    <x v="17"/>
    <x v="344"/>
    <x v="2"/>
    <s v="Low"/>
    <s v="No"/>
    <n v="66"/>
    <n v="4.3"/>
    <n v="40"/>
    <s v="Yes"/>
  </r>
  <r>
    <x v="361"/>
    <x v="0"/>
    <n v="18"/>
    <x v="14"/>
    <x v="345"/>
    <x v="1"/>
    <s v="High"/>
    <s v="Yes"/>
    <n v="98"/>
    <n v="8.8000000000000007"/>
    <n v="69.906738043528307"/>
    <s v="No"/>
  </r>
  <r>
    <x v="362"/>
    <x v="1"/>
    <n v="20"/>
    <x v="19"/>
    <x v="236"/>
    <x v="3"/>
    <s v="Middle"/>
    <s v="Yes"/>
    <n v="51"/>
    <n v="4.5999999999999996"/>
    <n v="44.736090287921598"/>
    <s v="Yes"/>
  </r>
  <r>
    <x v="363"/>
    <x v="0"/>
    <n v="15"/>
    <x v="13"/>
    <x v="346"/>
    <x v="0"/>
    <s v="High"/>
    <s v="No"/>
    <n v="97"/>
    <n v="4.0999999999999996"/>
    <n v="56.026272163037"/>
    <s v="No"/>
  </r>
  <r>
    <x v="364"/>
    <x v="0"/>
    <n v="18"/>
    <x v="0"/>
    <x v="347"/>
    <x v="3"/>
    <s v="Low"/>
    <s v="Yes"/>
    <n v="74"/>
    <n v="7.5"/>
    <n v="53.2020235883232"/>
    <s v="Yes"/>
  </r>
  <r>
    <x v="365"/>
    <x v="0"/>
    <n v="19"/>
    <x v="7"/>
    <x v="169"/>
    <x v="2"/>
    <s v="Middle"/>
    <s v="Yes"/>
    <n v="95"/>
    <n v="8.1999999999999993"/>
    <n v="69.852485506461093"/>
    <s v="No"/>
  </r>
  <r>
    <x v="366"/>
    <x v="0"/>
    <n v="21"/>
    <x v="26"/>
    <x v="348"/>
    <x v="2"/>
    <s v="Low"/>
    <s v="Yes"/>
    <n v="54"/>
    <n v="7.1"/>
    <n v="46.265258954323301"/>
    <s v="Yes"/>
  </r>
  <r>
    <x v="367"/>
    <x v="0"/>
    <n v="19"/>
    <x v="23"/>
    <x v="349"/>
    <x v="1"/>
    <s v="Low"/>
    <s v="No"/>
    <n v="47"/>
    <n v="7"/>
    <n v="41.506206437509903"/>
    <s v="Yes"/>
  </r>
  <r>
    <x v="368"/>
    <x v="1"/>
    <n v="18"/>
    <x v="6"/>
    <x v="350"/>
    <x v="1"/>
    <s v="High"/>
    <s v="Yes"/>
    <n v="61"/>
    <n v="5.6"/>
    <n v="40"/>
    <s v="No"/>
  </r>
  <r>
    <x v="369"/>
    <x v="1"/>
    <n v="17"/>
    <x v="9"/>
    <x v="351"/>
    <x v="1"/>
    <s v="Middle"/>
    <s v="Yes"/>
    <n v="80"/>
    <n v="7.1"/>
    <n v="55.255091818424603"/>
    <s v="No"/>
  </r>
  <r>
    <x v="370"/>
    <x v="0"/>
    <n v="20"/>
    <x v="17"/>
    <x v="352"/>
    <x v="0"/>
    <s v="Middle"/>
    <s v="No"/>
    <n v="54"/>
    <n v="8.1"/>
    <n v="45.350786390817298"/>
    <s v="Yes"/>
  </r>
  <r>
    <x v="371"/>
    <x v="1"/>
    <n v="15"/>
    <x v="1"/>
    <x v="353"/>
    <x v="3"/>
    <s v="High"/>
    <s v="No"/>
    <n v="66"/>
    <n v="5.6"/>
    <n v="46.749214539457597"/>
    <s v="No"/>
  </r>
  <r>
    <x v="372"/>
    <x v="0"/>
    <n v="20"/>
    <x v="23"/>
    <x v="354"/>
    <x v="4"/>
    <s v="Middle"/>
    <s v="Yes"/>
    <n v="48"/>
    <n v="6.3"/>
    <n v="40"/>
    <s v="No"/>
  </r>
  <r>
    <x v="373"/>
    <x v="0"/>
    <n v="20"/>
    <x v="5"/>
    <x v="355"/>
    <x v="0"/>
    <s v="Middle"/>
    <s v="No"/>
    <n v="85"/>
    <n v="7.2"/>
    <n v="65.886537849099099"/>
    <s v="Yes"/>
  </r>
  <r>
    <x v="374"/>
    <x v="0"/>
    <n v="16"/>
    <x v="16"/>
    <x v="356"/>
    <x v="4"/>
    <s v="High"/>
    <s v="No"/>
    <n v="49"/>
    <n v="7.9"/>
    <n v="40"/>
    <s v="Yes"/>
  </r>
  <r>
    <x v="375"/>
    <x v="1"/>
    <n v="20"/>
    <x v="3"/>
    <x v="357"/>
    <x v="4"/>
    <s v="Middle"/>
    <s v="No"/>
    <n v="67"/>
    <n v="7.2"/>
    <n v="48.910347003593202"/>
    <s v="Yes"/>
  </r>
  <r>
    <x v="376"/>
    <x v="1"/>
    <n v="17"/>
    <x v="11"/>
    <x v="358"/>
    <x v="4"/>
    <s v="High"/>
    <s v="No"/>
    <n v="87"/>
    <n v="4.8"/>
    <n v="45.488599306905101"/>
    <s v="No"/>
  </r>
  <r>
    <x v="377"/>
    <x v="0"/>
    <n v="19"/>
    <x v="11"/>
    <x v="359"/>
    <x v="1"/>
    <s v="High"/>
    <s v="No"/>
    <n v="46"/>
    <n v="6.6"/>
    <n v="40"/>
    <s v="Yes"/>
  </r>
  <r>
    <x v="378"/>
    <x v="1"/>
    <n v="15"/>
    <x v="23"/>
    <x v="360"/>
    <x v="4"/>
    <s v="Low"/>
    <s v="Yes"/>
    <n v="58"/>
    <n v="6.2"/>
    <n v="40"/>
    <s v="No"/>
  </r>
  <r>
    <x v="379"/>
    <x v="0"/>
    <n v="16"/>
    <x v="16"/>
    <x v="361"/>
    <x v="3"/>
    <s v="High"/>
    <s v="Yes"/>
    <n v="98"/>
    <n v="7.2"/>
    <n v="59.269676390085998"/>
    <s v="Yes"/>
  </r>
  <r>
    <x v="380"/>
    <x v="1"/>
    <n v="19"/>
    <x v="2"/>
    <x v="362"/>
    <x v="1"/>
    <s v="High"/>
    <s v="Yes"/>
    <n v="46"/>
    <n v="7.2"/>
    <n v="40"/>
    <s v="Yes"/>
  </r>
  <r>
    <x v="381"/>
    <x v="0"/>
    <n v="18"/>
    <x v="6"/>
    <x v="182"/>
    <x v="3"/>
    <s v="Low"/>
    <s v="No"/>
    <n v="99"/>
    <n v="4.5"/>
    <n v="47.5736842315102"/>
    <s v="No"/>
  </r>
  <r>
    <x v="382"/>
    <x v="1"/>
    <n v="18"/>
    <x v="1"/>
    <x v="363"/>
    <x v="2"/>
    <s v="Low"/>
    <s v="Yes"/>
    <n v="84"/>
    <n v="4.7"/>
    <n v="63.932028517755001"/>
    <s v="No"/>
  </r>
  <r>
    <x v="383"/>
    <x v="1"/>
    <n v="16"/>
    <x v="23"/>
    <x v="364"/>
    <x v="3"/>
    <s v="High"/>
    <s v="Yes"/>
    <n v="73"/>
    <n v="4.4000000000000004"/>
    <n v="51.091741666129401"/>
    <s v="No"/>
  </r>
  <r>
    <x v="384"/>
    <x v="0"/>
    <n v="15"/>
    <x v="16"/>
    <x v="365"/>
    <x v="4"/>
    <s v="High"/>
    <s v="No"/>
    <n v="52"/>
    <n v="4.5"/>
    <n v="40"/>
    <s v="Yes"/>
  </r>
  <r>
    <x v="385"/>
    <x v="0"/>
    <n v="16"/>
    <x v="22"/>
    <x v="366"/>
    <x v="2"/>
    <s v="Low"/>
    <s v="Yes"/>
    <n v="60"/>
    <n v="6.6"/>
    <n v="43.170436563150503"/>
    <s v="No"/>
  </r>
  <r>
    <x v="386"/>
    <x v="0"/>
    <n v="16"/>
    <x v="14"/>
    <x v="367"/>
    <x v="4"/>
    <s v="Low"/>
    <s v="No"/>
    <n v="72"/>
    <n v="4"/>
    <n v="52.132992403793502"/>
    <s v="No"/>
  </r>
  <r>
    <x v="387"/>
    <x v="1"/>
    <n v="17"/>
    <x v="9"/>
    <x v="368"/>
    <x v="0"/>
    <s v="Low"/>
    <s v="Yes"/>
    <n v="72"/>
    <n v="7.9"/>
    <n v="44.981996940579101"/>
    <s v="No"/>
  </r>
  <r>
    <x v="388"/>
    <x v="0"/>
    <n v="18"/>
    <x v="7"/>
    <x v="369"/>
    <x v="4"/>
    <s v="Low"/>
    <s v="Yes"/>
    <n v="47"/>
    <n v="6.8"/>
    <n v="40"/>
    <s v="Yes"/>
  </r>
  <r>
    <x v="389"/>
    <x v="1"/>
    <n v="18"/>
    <x v="1"/>
    <x v="370"/>
    <x v="2"/>
    <s v="High"/>
    <s v="Yes"/>
    <n v="79"/>
    <n v="7.6"/>
    <n v="40"/>
    <s v="Yes"/>
  </r>
  <r>
    <x v="390"/>
    <x v="1"/>
    <n v="19"/>
    <x v="21"/>
    <x v="371"/>
    <x v="4"/>
    <s v="Middle"/>
    <s v="No"/>
    <n v="72"/>
    <n v="6.4"/>
    <n v="63.829751500972399"/>
    <s v="Yes"/>
  </r>
  <r>
    <x v="391"/>
    <x v="0"/>
    <n v="17"/>
    <x v="27"/>
    <x v="372"/>
    <x v="2"/>
    <s v="Middle"/>
    <s v="No"/>
    <n v="85"/>
    <n v="8.5"/>
    <n v="56.522905186488103"/>
    <s v="Yes"/>
  </r>
  <r>
    <x v="392"/>
    <x v="0"/>
    <n v="18"/>
    <x v="17"/>
    <x v="373"/>
    <x v="0"/>
    <s v="Middle"/>
    <s v="Yes"/>
    <n v="92"/>
    <n v="8.1"/>
    <n v="70.254435014755202"/>
    <s v="No"/>
  </r>
  <r>
    <x v="393"/>
    <x v="1"/>
    <n v="17"/>
    <x v="14"/>
    <x v="5"/>
    <x v="4"/>
    <s v="High"/>
    <s v="Yes"/>
    <n v="70"/>
    <n v="6.5"/>
    <n v="47.781885315894897"/>
    <s v="Yes"/>
  </r>
  <r>
    <x v="394"/>
    <x v="0"/>
    <n v="15"/>
    <x v="22"/>
    <x v="374"/>
    <x v="2"/>
    <s v="High"/>
    <s v="No"/>
    <n v="70"/>
    <n v="5.2"/>
    <n v="60.915064435702703"/>
    <s v="Yes"/>
  </r>
  <r>
    <x v="395"/>
    <x v="0"/>
    <n v="17"/>
    <x v="2"/>
    <x v="273"/>
    <x v="2"/>
    <s v="Low"/>
    <s v="No"/>
    <n v="65"/>
    <n v="4.5999999999999996"/>
    <n v="49.798728433007703"/>
    <s v="No"/>
  </r>
  <r>
    <x v="396"/>
    <x v="1"/>
    <n v="18"/>
    <x v="22"/>
    <x v="375"/>
    <x v="2"/>
    <s v="High"/>
    <s v="No"/>
    <n v="65"/>
    <n v="8.1999999999999993"/>
    <n v="49.570039076609802"/>
    <s v="No"/>
  </r>
  <r>
    <x v="397"/>
    <x v="1"/>
    <n v="20"/>
    <x v="15"/>
    <x v="376"/>
    <x v="2"/>
    <s v="Middle"/>
    <s v="Yes"/>
    <n v="91"/>
    <n v="7.4"/>
    <n v="61.0167329394923"/>
    <s v="Yes"/>
  </r>
  <r>
    <x v="398"/>
    <x v="0"/>
    <n v="16"/>
    <x v="23"/>
    <x v="377"/>
    <x v="4"/>
    <s v="High"/>
    <s v="Yes"/>
    <n v="86"/>
    <n v="5.3"/>
    <n v="56.583481280789002"/>
    <s v="Yes"/>
  </r>
  <r>
    <x v="399"/>
    <x v="0"/>
    <n v="15"/>
    <x v="11"/>
    <x v="378"/>
    <x v="1"/>
    <s v="Low"/>
    <s v="No"/>
    <n v="97"/>
    <n v="7.6"/>
    <n v="56.189570553878099"/>
    <s v="Yes"/>
  </r>
  <r>
    <x v="400"/>
    <x v="1"/>
    <n v="20"/>
    <x v="20"/>
    <x v="379"/>
    <x v="3"/>
    <s v="Low"/>
    <s v="No"/>
    <n v="89"/>
    <n v="5.5"/>
    <n v="58.962751226121803"/>
    <s v="Yes"/>
  </r>
  <r>
    <x v="401"/>
    <x v="1"/>
    <n v="15"/>
    <x v="8"/>
    <x v="380"/>
    <x v="2"/>
    <s v="High"/>
    <s v="Yes"/>
    <n v="69"/>
    <n v="5.3"/>
    <n v="49.481728190388701"/>
    <s v="Yes"/>
  </r>
  <r>
    <x v="402"/>
    <x v="0"/>
    <n v="18"/>
    <x v="15"/>
    <x v="65"/>
    <x v="1"/>
    <s v="High"/>
    <s v="No"/>
    <n v="60"/>
    <n v="7.7"/>
    <n v="40.772860031621697"/>
    <s v="Yes"/>
  </r>
  <r>
    <x v="403"/>
    <x v="1"/>
    <n v="21"/>
    <x v="11"/>
    <x v="236"/>
    <x v="4"/>
    <s v="Low"/>
    <s v="No"/>
    <n v="86"/>
    <n v="7.7"/>
    <n v="57.218512325342502"/>
    <s v="Yes"/>
  </r>
  <r>
    <x v="404"/>
    <x v="0"/>
    <n v="20"/>
    <x v="12"/>
    <x v="381"/>
    <x v="0"/>
    <s v="High"/>
    <s v="No"/>
    <n v="52"/>
    <n v="8.1"/>
    <n v="43.4596735706617"/>
    <s v="Yes"/>
  </r>
  <r>
    <x v="405"/>
    <x v="1"/>
    <n v="17"/>
    <x v="14"/>
    <x v="382"/>
    <x v="2"/>
    <s v="Middle"/>
    <s v="No"/>
    <n v="77"/>
    <n v="8.1999999999999993"/>
    <n v="48.863030675231499"/>
    <s v="No"/>
  </r>
  <r>
    <x v="406"/>
    <x v="1"/>
    <n v="20"/>
    <x v="23"/>
    <x v="383"/>
    <x v="1"/>
    <s v="Middle"/>
    <s v="No"/>
    <n v="70"/>
    <n v="6.7"/>
    <n v="54.537830503983102"/>
    <s v="No"/>
  </r>
  <r>
    <x v="407"/>
    <x v="1"/>
    <n v="16"/>
    <x v="11"/>
    <x v="149"/>
    <x v="1"/>
    <s v="Low"/>
    <s v="No"/>
    <n v="49"/>
    <n v="5.3"/>
    <n v="40"/>
    <s v="Yes"/>
  </r>
  <r>
    <x v="408"/>
    <x v="0"/>
    <n v="18"/>
    <x v="18"/>
    <x v="384"/>
    <x v="0"/>
    <s v="High"/>
    <s v="No"/>
    <n v="68"/>
    <n v="7"/>
    <n v="46.011228133699198"/>
    <s v="Yes"/>
  </r>
  <r>
    <x v="409"/>
    <x v="1"/>
    <n v="15"/>
    <x v="18"/>
    <x v="385"/>
    <x v="1"/>
    <s v="Middle"/>
    <s v="No"/>
    <n v="98"/>
    <n v="5.5"/>
    <n v="65.242854692942203"/>
    <s v="No"/>
  </r>
  <r>
    <x v="410"/>
    <x v="1"/>
    <n v="15"/>
    <x v="8"/>
    <x v="386"/>
    <x v="1"/>
    <s v="High"/>
    <s v="No"/>
    <n v="83"/>
    <n v="8"/>
    <n v="57.973957010638799"/>
    <s v="No"/>
  </r>
  <r>
    <x v="411"/>
    <x v="1"/>
    <n v="15"/>
    <x v="13"/>
    <x v="387"/>
    <x v="3"/>
    <s v="Middle"/>
    <s v="No"/>
    <n v="97"/>
    <n v="4.5999999999999996"/>
    <n v="66.397745052328204"/>
    <s v="Yes"/>
  </r>
  <r>
    <x v="412"/>
    <x v="1"/>
    <n v="15"/>
    <x v="19"/>
    <x v="388"/>
    <x v="4"/>
    <s v="High"/>
    <s v="No"/>
    <n v="47"/>
    <n v="5.6"/>
    <n v="40.648643986805403"/>
    <s v="Yes"/>
  </r>
  <r>
    <x v="413"/>
    <x v="1"/>
    <n v="21"/>
    <x v="21"/>
    <x v="389"/>
    <x v="0"/>
    <s v="Low"/>
    <s v="Yes"/>
    <n v="93"/>
    <n v="4.2"/>
    <n v="59.821863903959503"/>
    <s v="Yes"/>
  </r>
  <r>
    <x v="414"/>
    <x v="0"/>
    <n v="15"/>
    <x v="20"/>
    <x v="390"/>
    <x v="2"/>
    <s v="High"/>
    <s v="Yes"/>
    <n v="67"/>
    <n v="6.2"/>
    <n v="55.223286150985501"/>
    <s v="No"/>
  </r>
  <r>
    <x v="415"/>
    <x v="0"/>
    <n v="17"/>
    <x v="20"/>
    <x v="391"/>
    <x v="3"/>
    <s v="High"/>
    <s v="No"/>
    <n v="88"/>
    <n v="4.7"/>
    <n v="59.398623908108902"/>
    <s v="No"/>
  </r>
  <r>
    <x v="416"/>
    <x v="1"/>
    <n v="16"/>
    <x v="10"/>
    <x v="392"/>
    <x v="2"/>
    <s v="Low"/>
    <s v="Yes"/>
    <n v="87"/>
    <n v="8.9"/>
    <n v="51.436583170306299"/>
    <s v="Yes"/>
  </r>
  <r>
    <x v="417"/>
    <x v="1"/>
    <n v="17"/>
    <x v="10"/>
    <x v="393"/>
    <x v="3"/>
    <s v="Low"/>
    <s v="Yes"/>
    <n v="85"/>
    <n v="5.8"/>
    <n v="64.5585933385766"/>
    <s v="Yes"/>
  </r>
  <r>
    <x v="418"/>
    <x v="1"/>
    <n v="20"/>
    <x v="8"/>
    <x v="394"/>
    <x v="1"/>
    <s v="Middle"/>
    <s v="No"/>
    <n v="74"/>
    <n v="7.9"/>
    <n v="43.331087309396601"/>
    <s v="No"/>
  </r>
  <r>
    <x v="419"/>
    <x v="1"/>
    <n v="16"/>
    <x v="20"/>
    <x v="395"/>
    <x v="0"/>
    <s v="Low"/>
    <s v="Yes"/>
    <n v="54"/>
    <n v="8.1"/>
    <n v="47.155685545282402"/>
    <s v="No"/>
  </r>
  <r>
    <x v="420"/>
    <x v="1"/>
    <n v="17"/>
    <x v="9"/>
    <x v="396"/>
    <x v="3"/>
    <s v="Middle"/>
    <s v="No"/>
    <n v="49"/>
    <n v="4.5"/>
    <n v="40.5044655649587"/>
    <s v="No"/>
  </r>
  <r>
    <x v="421"/>
    <x v="1"/>
    <n v="18"/>
    <x v="17"/>
    <x v="397"/>
    <x v="1"/>
    <s v="Middle"/>
    <s v="Yes"/>
    <n v="53"/>
    <n v="7.3"/>
    <n v="40"/>
    <s v="Yes"/>
  </r>
  <r>
    <x v="422"/>
    <x v="1"/>
    <n v="15"/>
    <x v="19"/>
    <x v="398"/>
    <x v="3"/>
    <s v="Middle"/>
    <s v="Yes"/>
    <n v="84"/>
    <n v="5.7"/>
    <n v="50.487121880632102"/>
    <s v="Yes"/>
  </r>
  <r>
    <x v="423"/>
    <x v="1"/>
    <n v="21"/>
    <x v="27"/>
    <x v="399"/>
    <x v="4"/>
    <s v="Low"/>
    <s v="Yes"/>
    <n v="81"/>
    <n v="5.5"/>
    <n v="60.622824252633102"/>
    <s v="No"/>
  </r>
  <r>
    <x v="424"/>
    <x v="1"/>
    <n v="18"/>
    <x v="21"/>
    <x v="400"/>
    <x v="0"/>
    <s v="Middle"/>
    <s v="Yes"/>
    <n v="86"/>
    <n v="7.8"/>
    <n v="63.560481555100402"/>
    <s v="Yes"/>
  </r>
  <r>
    <x v="425"/>
    <x v="1"/>
    <n v="21"/>
    <x v="23"/>
    <x v="401"/>
    <x v="4"/>
    <s v="Middle"/>
    <s v="No"/>
    <n v="80"/>
    <n v="5.3"/>
    <n v="59.647611344299101"/>
    <s v="No"/>
  </r>
  <r>
    <x v="426"/>
    <x v="1"/>
    <n v="16"/>
    <x v="0"/>
    <x v="264"/>
    <x v="2"/>
    <s v="Low"/>
    <s v="No"/>
    <n v="69"/>
    <n v="5.5"/>
    <n v="49.947041741593601"/>
    <s v="No"/>
  </r>
  <r>
    <x v="427"/>
    <x v="1"/>
    <n v="16"/>
    <x v="17"/>
    <x v="402"/>
    <x v="4"/>
    <s v="Low"/>
    <s v="No"/>
    <n v="89"/>
    <n v="7.8"/>
    <n v="51.591806097957601"/>
    <s v="Yes"/>
  </r>
  <r>
    <x v="428"/>
    <x v="1"/>
    <n v="19"/>
    <x v="20"/>
    <x v="403"/>
    <x v="1"/>
    <s v="Middle"/>
    <s v="No"/>
    <n v="71"/>
    <n v="5.7"/>
    <n v="46.827259585578297"/>
    <s v="Yes"/>
  </r>
  <r>
    <x v="429"/>
    <x v="0"/>
    <n v="15"/>
    <x v="7"/>
    <x v="404"/>
    <x v="2"/>
    <s v="Low"/>
    <s v="No"/>
    <n v="53"/>
    <n v="6"/>
    <n v="40"/>
    <s v="Yes"/>
  </r>
  <r>
    <x v="430"/>
    <x v="0"/>
    <n v="15"/>
    <x v="21"/>
    <x v="405"/>
    <x v="2"/>
    <s v="Low"/>
    <s v="Yes"/>
    <n v="96"/>
    <n v="7.7"/>
    <n v="63.140608003518501"/>
    <s v="No"/>
  </r>
  <r>
    <x v="431"/>
    <x v="1"/>
    <n v="16"/>
    <x v="4"/>
    <x v="16"/>
    <x v="2"/>
    <s v="High"/>
    <s v="No"/>
    <n v="88"/>
    <n v="4.7"/>
    <n v="69.451297924364198"/>
    <s v="Yes"/>
  </r>
  <r>
    <x v="432"/>
    <x v="1"/>
    <n v="19"/>
    <x v="11"/>
    <x v="406"/>
    <x v="0"/>
    <s v="Low"/>
    <s v="No"/>
    <n v="72"/>
    <n v="7.5"/>
    <n v="40.643126571440497"/>
    <s v="Yes"/>
  </r>
  <r>
    <x v="433"/>
    <x v="1"/>
    <n v="21"/>
    <x v="24"/>
    <x v="127"/>
    <x v="2"/>
    <s v="High"/>
    <s v="No"/>
    <n v="85"/>
    <n v="5.6"/>
    <n v="63.163693529746801"/>
    <s v="Yes"/>
  </r>
  <r>
    <x v="434"/>
    <x v="0"/>
    <n v="21"/>
    <x v="14"/>
    <x v="407"/>
    <x v="4"/>
    <s v="High"/>
    <s v="No"/>
    <n v="82"/>
    <n v="8.1999999999999993"/>
    <n v="58.7813786455784"/>
    <s v="No"/>
  </r>
  <r>
    <x v="435"/>
    <x v="0"/>
    <n v="15"/>
    <x v="22"/>
    <x v="408"/>
    <x v="2"/>
    <s v="Low"/>
    <s v="Yes"/>
    <n v="89"/>
    <n v="7.1"/>
    <n v="59.839648284628602"/>
    <s v="Yes"/>
  </r>
  <r>
    <x v="436"/>
    <x v="1"/>
    <n v="15"/>
    <x v="11"/>
    <x v="87"/>
    <x v="0"/>
    <s v="High"/>
    <s v="Yes"/>
    <n v="50"/>
    <n v="4"/>
    <n v="40"/>
    <s v="No"/>
  </r>
  <r>
    <x v="437"/>
    <x v="0"/>
    <n v="18"/>
    <x v="21"/>
    <x v="409"/>
    <x v="3"/>
    <s v="Middle"/>
    <s v="Yes"/>
    <n v="89"/>
    <n v="4.7"/>
    <n v="52.028568195570102"/>
    <s v="Yes"/>
  </r>
  <r>
    <x v="438"/>
    <x v="0"/>
    <n v="17"/>
    <x v="4"/>
    <x v="410"/>
    <x v="0"/>
    <s v="Middle"/>
    <s v="Yes"/>
    <n v="95"/>
    <n v="7.8"/>
    <n v="50.733918812545902"/>
    <s v="No"/>
  </r>
  <r>
    <x v="439"/>
    <x v="0"/>
    <n v="19"/>
    <x v="6"/>
    <x v="411"/>
    <x v="0"/>
    <s v="Middle"/>
    <s v="Yes"/>
    <n v="66"/>
    <n v="5.0999999999999996"/>
    <n v="46.92818584354"/>
    <s v="Yes"/>
  </r>
  <r>
    <x v="440"/>
    <x v="0"/>
    <n v="20"/>
    <x v="19"/>
    <x v="412"/>
    <x v="4"/>
    <s v="High"/>
    <s v="No"/>
    <n v="91"/>
    <n v="4.0999999999999996"/>
    <n v="57.673587830059098"/>
    <s v="Yes"/>
  </r>
  <r>
    <x v="441"/>
    <x v="1"/>
    <n v="16"/>
    <x v="19"/>
    <x v="413"/>
    <x v="3"/>
    <s v="High"/>
    <s v="No"/>
    <n v="92"/>
    <n v="7.7"/>
    <n v="60.160242686674302"/>
    <s v="Yes"/>
  </r>
  <r>
    <x v="442"/>
    <x v="0"/>
    <n v="17"/>
    <x v="8"/>
    <x v="414"/>
    <x v="1"/>
    <s v="Low"/>
    <s v="Yes"/>
    <n v="70"/>
    <n v="7.4"/>
    <n v="42.063085618116098"/>
    <s v="No"/>
  </r>
  <r>
    <x v="443"/>
    <x v="0"/>
    <n v="18"/>
    <x v="26"/>
    <x v="415"/>
    <x v="2"/>
    <s v="High"/>
    <s v="Yes"/>
    <n v="90"/>
    <n v="5.0999999999999996"/>
    <n v="56.259074827777603"/>
    <s v="No"/>
  </r>
  <r>
    <x v="444"/>
    <x v="0"/>
    <n v="16"/>
    <x v="24"/>
    <x v="248"/>
    <x v="2"/>
    <s v="Middle"/>
    <s v="No"/>
    <n v="52"/>
    <n v="7.1"/>
    <n v="40"/>
    <s v="No"/>
  </r>
  <r>
    <x v="445"/>
    <x v="0"/>
    <n v="16"/>
    <x v="15"/>
    <x v="416"/>
    <x v="4"/>
    <s v="High"/>
    <s v="No"/>
    <n v="71"/>
    <n v="7.1"/>
    <n v="44.045858917145601"/>
    <s v="No"/>
  </r>
  <r>
    <x v="446"/>
    <x v="1"/>
    <n v="18"/>
    <x v="1"/>
    <x v="417"/>
    <x v="1"/>
    <s v="Middle"/>
    <s v="Yes"/>
    <n v="77"/>
    <n v="8.6999999999999993"/>
    <n v="49.400949857148802"/>
    <s v="No"/>
  </r>
  <r>
    <x v="447"/>
    <x v="0"/>
    <n v="20"/>
    <x v="5"/>
    <x v="418"/>
    <x v="3"/>
    <s v="Middle"/>
    <s v="No"/>
    <n v="50"/>
    <n v="4.5"/>
    <n v="55.038850826098297"/>
    <s v="No"/>
  </r>
  <r>
    <x v="448"/>
    <x v="1"/>
    <n v="20"/>
    <x v="12"/>
    <x v="281"/>
    <x v="0"/>
    <s v="Low"/>
    <s v="Yes"/>
    <n v="83"/>
    <n v="4.9000000000000004"/>
    <n v="66.778436433912105"/>
    <s v="No"/>
  </r>
  <r>
    <x v="449"/>
    <x v="0"/>
    <n v="15"/>
    <x v="11"/>
    <x v="419"/>
    <x v="2"/>
    <s v="Low"/>
    <s v="Yes"/>
    <n v="63"/>
    <n v="5.5"/>
    <n v="45.580272547262098"/>
    <s v="Yes"/>
  </r>
  <r>
    <x v="450"/>
    <x v="1"/>
    <n v="20"/>
    <x v="11"/>
    <x v="157"/>
    <x v="3"/>
    <s v="High"/>
    <s v="Yes"/>
    <n v="97"/>
    <n v="7.8"/>
    <n v="48.236774223649299"/>
    <s v="Yes"/>
  </r>
  <r>
    <x v="451"/>
    <x v="0"/>
    <n v="21"/>
    <x v="14"/>
    <x v="420"/>
    <x v="4"/>
    <s v="High"/>
    <s v="No"/>
    <n v="58"/>
    <n v="6.4"/>
    <n v="54.864118130123103"/>
    <s v="No"/>
  </r>
  <r>
    <x v="452"/>
    <x v="0"/>
    <n v="15"/>
    <x v="5"/>
    <x v="421"/>
    <x v="0"/>
    <s v="Low"/>
    <s v="Yes"/>
    <n v="57"/>
    <n v="5.8"/>
    <n v="61.570848511571398"/>
    <s v="Yes"/>
  </r>
  <r>
    <x v="453"/>
    <x v="0"/>
    <n v="17"/>
    <x v="14"/>
    <x v="422"/>
    <x v="4"/>
    <s v="High"/>
    <s v="No"/>
    <n v="49"/>
    <n v="5.9"/>
    <n v="40"/>
    <s v="Yes"/>
  </r>
  <r>
    <x v="454"/>
    <x v="0"/>
    <n v="20"/>
    <x v="10"/>
    <x v="423"/>
    <x v="0"/>
    <s v="Middle"/>
    <s v="No"/>
    <n v="86"/>
    <n v="6.5"/>
    <n v="50.354725629190398"/>
    <s v="No"/>
  </r>
  <r>
    <x v="455"/>
    <x v="1"/>
    <n v="19"/>
    <x v="27"/>
    <x v="424"/>
    <x v="0"/>
    <s v="Middle"/>
    <s v="Yes"/>
    <n v="50"/>
    <n v="5.6"/>
    <n v="44.230295965874397"/>
    <s v="No"/>
  </r>
  <r>
    <x v="456"/>
    <x v="1"/>
    <n v="15"/>
    <x v="0"/>
    <x v="425"/>
    <x v="2"/>
    <s v="High"/>
    <s v="No"/>
    <n v="72"/>
    <n v="7.4"/>
    <n v="47.724928875710901"/>
    <s v="Yes"/>
  </r>
  <r>
    <x v="457"/>
    <x v="0"/>
    <n v="19"/>
    <x v="27"/>
    <x v="426"/>
    <x v="4"/>
    <s v="High"/>
    <s v="No"/>
    <n v="67"/>
    <n v="4.0999999999999996"/>
    <n v="48.007924043075398"/>
    <s v="Yes"/>
  </r>
  <r>
    <x v="458"/>
    <x v="1"/>
    <n v="16"/>
    <x v="1"/>
    <x v="427"/>
    <x v="3"/>
    <s v="High"/>
    <s v="Yes"/>
    <n v="67"/>
    <n v="7"/>
    <n v="40.048486608863698"/>
    <s v="No"/>
  </r>
  <r>
    <x v="459"/>
    <x v="0"/>
    <n v="18"/>
    <x v="0"/>
    <x v="428"/>
    <x v="3"/>
    <s v="Middle"/>
    <s v="No"/>
    <n v="95"/>
    <n v="5.8"/>
    <n v="62.339685404111002"/>
    <s v="No"/>
  </r>
  <r>
    <x v="460"/>
    <x v="1"/>
    <n v="17"/>
    <x v="12"/>
    <x v="429"/>
    <x v="2"/>
    <s v="Middle"/>
    <s v="No"/>
    <n v="77"/>
    <n v="6.4"/>
    <n v="55.088117775887099"/>
    <s v="Yes"/>
  </r>
  <r>
    <x v="461"/>
    <x v="0"/>
    <n v="15"/>
    <x v="24"/>
    <x v="430"/>
    <x v="1"/>
    <s v="High"/>
    <s v="Yes"/>
    <n v="83"/>
    <n v="7.8"/>
    <n v="64.991418593703699"/>
    <s v="No"/>
  </r>
  <r>
    <x v="462"/>
    <x v="1"/>
    <n v="21"/>
    <x v="12"/>
    <x v="431"/>
    <x v="0"/>
    <s v="Low"/>
    <s v="Yes"/>
    <n v="58"/>
    <n v="4.2"/>
    <n v="46.491649084702203"/>
    <s v="Yes"/>
  </r>
  <r>
    <x v="463"/>
    <x v="1"/>
    <n v="17"/>
    <x v="12"/>
    <x v="432"/>
    <x v="0"/>
    <s v="High"/>
    <s v="Yes"/>
    <n v="77"/>
    <n v="5.0999999999999996"/>
    <n v="57.492583429917403"/>
    <s v="Yes"/>
  </r>
  <r>
    <x v="464"/>
    <x v="1"/>
    <n v="19"/>
    <x v="23"/>
    <x v="433"/>
    <x v="3"/>
    <s v="Middle"/>
    <s v="Yes"/>
    <n v="92"/>
    <n v="6.6"/>
    <n v="59.984998731463499"/>
    <s v="No"/>
  </r>
  <r>
    <x v="465"/>
    <x v="0"/>
    <n v="20"/>
    <x v="20"/>
    <x v="434"/>
    <x v="3"/>
    <s v="Low"/>
    <s v="Yes"/>
    <n v="84"/>
    <n v="7.1"/>
    <n v="61.065143829740897"/>
    <s v="No"/>
  </r>
  <r>
    <x v="466"/>
    <x v="1"/>
    <n v="20"/>
    <x v="24"/>
    <x v="435"/>
    <x v="1"/>
    <s v="Middle"/>
    <s v="Yes"/>
    <n v="97"/>
    <n v="4.9000000000000004"/>
    <n v="59.615229399779103"/>
    <s v="No"/>
  </r>
  <r>
    <x v="467"/>
    <x v="0"/>
    <n v="18"/>
    <x v="5"/>
    <x v="436"/>
    <x v="4"/>
    <s v="High"/>
    <s v="No"/>
    <n v="88"/>
    <n v="5"/>
    <n v="65.696751805134596"/>
    <s v="Yes"/>
  </r>
  <r>
    <x v="468"/>
    <x v="0"/>
    <n v="21"/>
    <x v="4"/>
    <x v="437"/>
    <x v="1"/>
    <s v="Low"/>
    <s v="Yes"/>
    <n v="89"/>
    <n v="7.1"/>
    <n v="63.0090491137545"/>
    <s v="Yes"/>
  </r>
  <r>
    <x v="469"/>
    <x v="0"/>
    <n v="19"/>
    <x v="11"/>
    <x v="438"/>
    <x v="4"/>
    <s v="High"/>
    <s v="No"/>
    <n v="81"/>
    <n v="7.6"/>
    <n v="59.772093200415398"/>
    <s v="No"/>
  </r>
  <r>
    <x v="470"/>
    <x v="0"/>
    <n v="17"/>
    <x v="1"/>
    <x v="439"/>
    <x v="4"/>
    <s v="High"/>
    <s v="No"/>
    <n v="83"/>
    <n v="6.2"/>
    <n v="47.595946996522997"/>
    <s v="Yes"/>
  </r>
  <r>
    <x v="471"/>
    <x v="1"/>
    <n v="21"/>
    <x v="0"/>
    <x v="440"/>
    <x v="2"/>
    <s v="Middle"/>
    <s v="No"/>
    <n v="60"/>
    <n v="6.2"/>
    <n v="49.197773756558"/>
    <s v="Yes"/>
  </r>
  <r>
    <x v="472"/>
    <x v="1"/>
    <n v="16"/>
    <x v="6"/>
    <x v="441"/>
    <x v="2"/>
    <s v="Middle"/>
    <s v="Yes"/>
    <n v="95"/>
    <n v="6"/>
    <n v="64.551662109447307"/>
    <s v="No"/>
  </r>
  <r>
    <x v="473"/>
    <x v="1"/>
    <n v="20"/>
    <x v="8"/>
    <x v="442"/>
    <x v="4"/>
    <s v="Low"/>
    <s v="Yes"/>
    <n v="78"/>
    <n v="5.3"/>
    <n v="40"/>
    <s v="No"/>
  </r>
  <r>
    <x v="474"/>
    <x v="0"/>
    <n v="16"/>
    <x v="22"/>
    <x v="49"/>
    <x v="4"/>
    <s v="High"/>
    <s v="No"/>
    <n v="50"/>
    <n v="8.9"/>
    <n v="40"/>
    <s v="Yes"/>
  </r>
  <r>
    <x v="475"/>
    <x v="0"/>
    <n v="19"/>
    <x v="23"/>
    <x v="443"/>
    <x v="4"/>
    <s v="High"/>
    <s v="No"/>
    <n v="96"/>
    <n v="7.1"/>
    <n v="59.361461749500101"/>
    <s v="Yes"/>
  </r>
  <r>
    <x v="476"/>
    <x v="0"/>
    <n v="18"/>
    <x v="1"/>
    <x v="444"/>
    <x v="1"/>
    <s v="High"/>
    <s v="Yes"/>
    <n v="49"/>
    <n v="5.8"/>
    <n v="40"/>
    <s v="Yes"/>
  </r>
  <r>
    <x v="477"/>
    <x v="1"/>
    <n v="19"/>
    <x v="2"/>
    <x v="445"/>
    <x v="2"/>
    <s v="High"/>
    <s v="No"/>
    <n v="73"/>
    <n v="5.3"/>
    <n v="47.067674781116601"/>
    <s v="Yes"/>
  </r>
  <r>
    <x v="478"/>
    <x v="1"/>
    <n v="15"/>
    <x v="15"/>
    <x v="446"/>
    <x v="1"/>
    <s v="Low"/>
    <s v="No"/>
    <n v="69"/>
    <n v="5.3"/>
    <n v="46.551698538011003"/>
    <s v="No"/>
  </r>
  <r>
    <x v="479"/>
    <x v="1"/>
    <n v="18"/>
    <x v="15"/>
    <x v="447"/>
    <x v="2"/>
    <s v="Middle"/>
    <s v="Yes"/>
    <n v="70"/>
    <n v="5.6"/>
    <n v="40"/>
    <s v="No"/>
  </r>
  <r>
    <x v="480"/>
    <x v="0"/>
    <n v="18"/>
    <x v="2"/>
    <x v="448"/>
    <x v="0"/>
    <s v="Low"/>
    <s v="Yes"/>
    <n v="88"/>
    <n v="6.8"/>
    <n v="52.528830378218899"/>
    <s v="Yes"/>
  </r>
  <r>
    <x v="481"/>
    <x v="0"/>
    <n v="19"/>
    <x v="17"/>
    <x v="97"/>
    <x v="0"/>
    <s v="Low"/>
    <s v="No"/>
    <n v="81"/>
    <n v="6.9"/>
    <n v="52.134459935515501"/>
    <s v="No"/>
  </r>
  <r>
    <x v="482"/>
    <x v="0"/>
    <n v="18"/>
    <x v="17"/>
    <x v="449"/>
    <x v="3"/>
    <s v="High"/>
    <s v="No"/>
    <n v="53"/>
    <n v="7.3"/>
    <n v="41.416778057251101"/>
    <s v="No"/>
  </r>
  <r>
    <x v="483"/>
    <x v="0"/>
    <n v="16"/>
    <x v="27"/>
    <x v="450"/>
    <x v="2"/>
    <s v="Middle"/>
    <s v="Yes"/>
    <n v="52"/>
    <n v="4.0999999999999996"/>
    <n v="49.631442306945402"/>
    <s v="No"/>
  </r>
  <r>
    <x v="484"/>
    <x v="1"/>
    <n v="17"/>
    <x v="19"/>
    <x v="451"/>
    <x v="2"/>
    <s v="Low"/>
    <s v="No"/>
    <n v="82"/>
    <n v="6.9"/>
    <n v="51.547413662957197"/>
    <s v="Yes"/>
  </r>
  <r>
    <x v="485"/>
    <x v="0"/>
    <n v="16"/>
    <x v="27"/>
    <x v="452"/>
    <x v="4"/>
    <s v="Low"/>
    <s v="Yes"/>
    <n v="66"/>
    <n v="6.9"/>
    <n v="51.283009982231"/>
    <s v="No"/>
  </r>
  <r>
    <x v="486"/>
    <x v="1"/>
    <n v="18"/>
    <x v="27"/>
    <x v="453"/>
    <x v="3"/>
    <s v="High"/>
    <s v="Yes"/>
    <n v="84"/>
    <n v="8.6"/>
    <n v="60.072646497628199"/>
    <s v="No"/>
  </r>
  <r>
    <x v="487"/>
    <x v="1"/>
    <n v="17"/>
    <x v="9"/>
    <x v="454"/>
    <x v="0"/>
    <s v="High"/>
    <s v="Yes"/>
    <n v="79"/>
    <n v="5.2"/>
    <n v="56.471112544933"/>
    <s v="Yes"/>
  </r>
  <r>
    <x v="488"/>
    <x v="0"/>
    <n v="15"/>
    <x v="20"/>
    <x v="455"/>
    <x v="0"/>
    <s v="Middle"/>
    <s v="No"/>
    <n v="56"/>
    <n v="4.2"/>
    <n v="44.9019499972297"/>
    <s v="Yes"/>
  </r>
  <r>
    <x v="489"/>
    <x v="1"/>
    <n v="19"/>
    <x v="3"/>
    <x v="456"/>
    <x v="1"/>
    <s v="Low"/>
    <s v="No"/>
    <n v="81"/>
    <n v="8.6999999999999993"/>
    <n v="58.341446706602198"/>
    <s v="No"/>
  </r>
  <r>
    <x v="490"/>
    <x v="0"/>
    <n v="20"/>
    <x v="6"/>
    <x v="457"/>
    <x v="0"/>
    <s v="Low"/>
    <s v="No"/>
    <n v="98"/>
    <n v="6.8"/>
    <n v="58.678758571737497"/>
    <s v="No"/>
  </r>
  <r>
    <x v="491"/>
    <x v="0"/>
    <n v="18"/>
    <x v="17"/>
    <x v="228"/>
    <x v="1"/>
    <s v="High"/>
    <s v="No"/>
    <n v="68"/>
    <n v="4.5"/>
    <n v="48.923213416861998"/>
    <s v="Yes"/>
  </r>
  <r>
    <x v="492"/>
    <x v="1"/>
    <n v="19"/>
    <x v="21"/>
    <x v="458"/>
    <x v="1"/>
    <s v="High"/>
    <s v="Yes"/>
    <n v="65"/>
    <n v="5.6"/>
    <n v="46.4708439387665"/>
    <s v="Yes"/>
  </r>
  <r>
    <x v="493"/>
    <x v="0"/>
    <n v="20"/>
    <x v="21"/>
    <x v="459"/>
    <x v="1"/>
    <s v="Low"/>
    <s v="No"/>
    <n v="88"/>
    <n v="6"/>
    <n v="61.819961926164801"/>
    <s v="No"/>
  </r>
  <r>
    <x v="494"/>
    <x v="0"/>
    <n v="17"/>
    <x v="10"/>
    <x v="460"/>
    <x v="0"/>
    <s v="High"/>
    <s v="Yes"/>
    <n v="51"/>
    <n v="7.8"/>
    <n v="40"/>
    <s v="No"/>
  </r>
  <r>
    <x v="495"/>
    <x v="0"/>
    <n v="19"/>
    <x v="15"/>
    <x v="461"/>
    <x v="2"/>
    <s v="High"/>
    <s v="Yes"/>
    <n v="84"/>
    <n v="5.3"/>
    <n v="55.6259491857166"/>
    <s v="Yes"/>
  </r>
  <r>
    <x v="496"/>
    <x v="1"/>
    <n v="21"/>
    <x v="20"/>
    <x v="462"/>
    <x v="4"/>
    <s v="High"/>
    <s v="No"/>
    <n v="52"/>
    <n v="8.6999999999999993"/>
    <n v="41.644953653495598"/>
    <s v="Yes"/>
  </r>
  <r>
    <x v="497"/>
    <x v="0"/>
    <n v="20"/>
    <x v="23"/>
    <x v="463"/>
    <x v="4"/>
    <s v="Middle"/>
    <s v="Yes"/>
    <n v="98"/>
    <n v="6.9"/>
    <n v="57.304509117733303"/>
    <s v="Yes"/>
  </r>
  <r>
    <x v="498"/>
    <x v="0"/>
    <n v="18"/>
    <x v="12"/>
    <x v="464"/>
    <x v="1"/>
    <s v="High"/>
    <s v="Yes"/>
    <n v="46"/>
    <n v="4.5"/>
    <n v="41.7387857274108"/>
    <s v="Yes"/>
  </r>
  <r>
    <x v="499"/>
    <x v="0"/>
    <n v="18"/>
    <x v="24"/>
    <x v="465"/>
    <x v="2"/>
    <s v="Low"/>
    <s v="No"/>
    <n v="64"/>
    <n v="6.5"/>
    <n v="53.146258693841702"/>
    <s v="Yes"/>
  </r>
  <r>
    <x v="500"/>
    <x v="0"/>
    <n v="16"/>
    <x v="17"/>
    <x v="466"/>
    <x v="3"/>
    <s v="Low"/>
    <s v="Yes"/>
    <n v="66"/>
    <n v="6.9"/>
    <n v="48.614089347837499"/>
    <s v="Yes"/>
  </r>
  <r>
    <x v="501"/>
    <x v="0"/>
    <n v="21"/>
    <x v="22"/>
    <x v="467"/>
    <x v="0"/>
    <s v="Middle"/>
    <s v="No"/>
    <n v="75"/>
    <n v="8.8000000000000007"/>
    <n v="50.347131217640097"/>
    <s v="Yes"/>
  </r>
  <r>
    <x v="502"/>
    <x v="1"/>
    <n v="19"/>
    <x v="17"/>
    <x v="468"/>
    <x v="0"/>
    <s v="High"/>
    <s v="No"/>
    <n v="68"/>
    <n v="8.6"/>
    <n v="50.2714801209016"/>
    <s v="Yes"/>
  </r>
  <r>
    <x v="503"/>
    <x v="1"/>
    <n v="19"/>
    <x v="4"/>
    <x v="469"/>
    <x v="4"/>
    <s v="Middle"/>
    <s v="Yes"/>
    <n v="47"/>
    <n v="8.6999999999999993"/>
    <n v="40"/>
    <s v="No"/>
  </r>
  <r>
    <x v="504"/>
    <x v="0"/>
    <n v="16"/>
    <x v="14"/>
    <x v="470"/>
    <x v="1"/>
    <s v="Low"/>
    <s v="No"/>
    <n v="55"/>
    <n v="7.2"/>
    <n v="40"/>
    <s v="Yes"/>
  </r>
  <r>
    <x v="505"/>
    <x v="0"/>
    <n v="16"/>
    <x v="9"/>
    <x v="471"/>
    <x v="2"/>
    <s v="High"/>
    <s v="Yes"/>
    <n v="87"/>
    <n v="7.2"/>
    <n v="60.189237845674"/>
    <s v="No"/>
  </r>
  <r>
    <x v="506"/>
    <x v="1"/>
    <n v="20"/>
    <x v="19"/>
    <x v="472"/>
    <x v="2"/>
    <s v="Low"/>
    <s v="Yes"/>
    <n v="92"/>
    <n v="7.4"/>
    <n v="62.544370053190598"/>
    <s v="No"/>
  </r>
  <r>
    <x v="507"/>
    <x v="1"/>
    <n v="19"/>
    <x v="15"/>
    <x v="473"/>
    <x v="0"/>
    <s v="Middle"/>
    <s v="No"/>
    <n v="81"/>
    <n v="4.2"/>
    <n v="44.998025978478502"/>
    <s v="Yes"/>
  </r>
  <r>
    <x v="508"/>
    <x v="1"/>
    <n v="17"/>
    <x v="14"/>
    <x v="474"/>
    <x v="2"/>
    <s v="Middle"/>
    <s v="No"/>
    <n v="95"/>
    <n v="5.3"/>
    <n v="58.453583549048602"/>
    <s v="No"/>
  </r>
  <r>
    <x v="509"/>
    <x v="1"/>
    <n v="17"/>
    <x v="16"/>
    <x v="475"/>
    <x v="2"/>
    <s v="Low"/>
    <s v="No"/>
    <n v="61"/>
    <n v="5.3"/>
    <n v="40"/>
    <s v="No"/>
  </r>
  <r>
    <x v="510"/>
    <x v="1"/>
    <n v="15"/>
    <x v="15"/>
    <x v="476"/>
    <x v="0"/>
    <s v="High"/>
    <s v="No"/>
    <n v="72"/>
    <n v="7.9"/>
    <n v="47.522914539638798"/>
    <s v="Yes"/>
  </r>
  <r>
    <x v="511"/>
    <x v="1"/>
    <n v="21"/>
    <x v="13"/>
    <x v="477"/>
    <x v="2"/>
    <s v="Middle"/>
    <s v="No"/>
    <n v="89"/>
    <n v="4.9000000000000004"/>
    <n v="54.231828471448303"/>
    <s v="Yes"/>
  </r>
  <r>
    <x v="512"/>
    <x v="0"/>
    <n v="16"/>
    <x v="2"/>
    <x v="478"/>
    <x v="2"/>
    <s v="High"/>
    <s v="Yes"/>
    <n v="87"/>
    <n v="7.7"/>
    <n v="60.508049973054398"/>
    <s v="No"/>
  </r>
  <r>
    <x v="513"/>
    <x v="0"/>
    <n v="17"/>
    <x v="8"/>
    <x v="479"/>
    <x v="4"/>
    <s v="Middle"/>
    <s v="Yes"/>
    <n v="89"/>
    <n v="6.1"/>
    <n v="43.945603361522203"/>
    <s v="Yes"/>
  </r>
  <r>
    <x v="514"/>
    <x v="1"/>
    <n v="18"/>
    <x v="14"/>
    <x v="480"/>
    <x v="0"/>
    <s v="Middle"/>
    <s v="No"/>
    <n v="93"/>
    <n v="5.4"/>
    <n v="54.2620558622015"/>
    <s v="No"/>
  </r>
  <r>
    <x v="515"/>
    <x v="0"/>
    <n v="18"/>
    <x v="27"/>
    <x v="481"/>
    <x v="1"/>
    <s v="Low"/>
    <s v="Yes"/>
    <n v="73"/>
    <n v="8.5"/>
    <n v="53.538714937679998"/>
    <s v="Yes"/>
  </r>
  <r>
    <x v="516"/>
    <x v="1"/>
    <n v="16"/>
    <x v="5"/>
    <x v="482"/>
    <x v="1"/>
    <s v="High"/>
    <s v="Yes"/>
    <n v="72"/>
    <n v="5.5"/>
    <n v="52.635258069848803"/>
    <s v="No"/>
  </r>
  <r>
    <x v="517"/>
    <x v="1"/>
    <n v="20"/>
    <x v="27"/>
    <x v="483"/>
    <x v="4"/>
    <s v="Low"/>
    <s v="Yes"/>
    <n v="56"/>
    <n v="7.9"/>
    <n v="56.657923194299997"/>
    <s v="No"/>
  </r>
  <r>
    <x v="518"/>
    <x v="0"/>
    <n v="18"/>
    <x v="17"/>
    <x v="484"/>
    <x v="0"/>
    <s v="Low"/>
    <s v="No"/>
    <n v="61"/>
    <n v="7.8"/>
    <n v="41.774873508081299"/>
    <s v="Yes"/>
  </r>
  <r>
    <x v="519"/>
    <x v="1"/>
    <n v="15"/>
    <x v="10"/>
    <x v="485"/>
    <x v="4"/>
    <s v="Low"/>
    <s v="Yes"/>
    <n v="54"/>
    <n v="5.9"/>
    <n v="46.789162610797902"/>
    <s v="No"/>
  </r>
  <r>
    <x v="520"/>
    <x v="0"/>
    <n v="18"/>
    <x v="12"/>
    <x v="486"/>
    <x v="1"/>
    <s v="Middle"/>
    <s v="No"/>
    <n v="68"/>
    <n v="5.6"/>
    <n v="55.9282304693876"/>
    <s v="Yes"/>
  </r>
  <r>
    <x v="521"/>
    <x v="1"/>
    <n v="21"/>
    <x v="0"/>
    <x v="487"/>
    <x v="0"/>
    <s v="High"/>
    <s v="No"/>
    <n v="51"/>
    <n v="4"/>
    <n v="49.932452482130202"/>
    <s v="Yes"/>
  </r>
  <r>
    <x v="522"/>
    <x v="0"/>
    <n v="21"/>
    <x v="6"/>
    <x v="488"/>
    <x v="0"/>
    <s v="High"/>
    <s v="No"/>
    <n v="63"/>
    <n v="6.3"/>
    <n v="43.058966104541398"/>
    <s v="No"/>
  </r>
  <r>
    <x v="523"/>
    <x v="0"/>
    <n v="20"/>
    <x v="19"/>
    <x v="489"/>
    <x v="4"/>
    <s v="Low"/>
    <s v="Yes"/>
    <n v="90"/>
    <n v="4.9000000000000004"/>
    <n v="45.873453402051702"/>
    <s v="Yes"/>
  </r>
  <r>
    <x v="524"/>
    <x v="1"/>
    <n v="15"/>
    <x v="21"/>
    <x v="490"/>
    <x v="0"/>
    <s v="High"/>
    <s v="No"/>
    <n v="82"/>
    <n v="4.0999999999999996"/>
    <n v="51.128540695785503"/>
    <s v="No"/>
  </r>
  <r>
    <x v="525"/>
    <x v="1"/>
    <n v="19"/>
    <x v="1"/>
    <x v="491"/>
    <x v="0"/>
    <s v="Low"/>
    <s v="Yes"/>
    <n v="86"/>
    <n v="7.1"/>
    <n v="56.249976422500801"/>
    <s v="No"/>
  </r>
  <r>
    <x v="526"/>
    <x v="1"/>
    <n v="18"/>
    <x v="17"/>
    <x v="492"/>
    <x v="2"/>
    <s v="Middle"/>
    <s v="Yes"/>
    <n v="45"/>
    <n v="4.5999999999999996"/>
    <n v="40"/>
    <s v="No"/>
  </r>
  <r>
    <x v="527"/>
    <x v="0"/>
    <n v="18"/>
    <x v="17"/>
    <x v="493"/>
    <x v="1"/>
    <s v="Middle"/>
    <s v="No"/>
    <n v="66"/>
    <n v="5.5"/>
    <n v="62.857850854449403"/>
    <s v="No"/>
  </r>
  <r>
    <x v="528"/>
    <x v="0"/>
    <n v="17"/>
    <x v="13"/>
    <x v="494"/>
    <x v="3"/>
    <s v="Low"/>
    <s v="Yes"/>
    <n v="61"/>
    <n v="7.6"/>
    <n v="40.649419162640498"/>
    <s v="No"/>
  </r>
  <r>
    <x v="529"/>
    <x v="1"/>
    <n v="19"/>
    <x v="23"/>
    <x v="125"/>
    <x v="4"/>
    <s v="High"/>
    <s v="No"/>
    <n v="81"/>
    <n v="7.7"/>
    <n v="53.093800703050498"/>
    <s v="Yes"/>
  </r>
  <r>
    <x v="530"/>
    <x v="1"/>
    <n v="21"/>
    <x v="4"/>
    <x v="495"/>
    <x v="2"/>
    <s v="High"/>
    <s v="No"/>
    <n v="81"/>
    <n v="8.8000000000000007"/>
    <n v="57.879556899054201"/>
    <s v="No"/>
  </r>
  <r>
    <x v="531"/>
    <x v="1"/>
    <n v="16"/>
    <x v="1"/>
    <x v="441"/>
    <x v="0"/>
    <s v="Low"/>
    <s v="Yes"/>
    <n v="94"/>
    <n v="8.5"/>
    <n v="57.4286565066188"/>
    <s v="Yes"/>
  </r>
  <r>
    <x v="532"/>
    <x v="0"/>
    <n v="16"/>
    <x v="6"/>
    <x v="496"/>
    <x v="3"/>
    <s v="Middle"/>
    <s v="Yes"/>
    <n v="97"/>
    <n v="6.6"/>
    <n v="54.298676723463501"/>
    <s v="Yes"/>
  </r>
  <r>
    <x v="533"/>
    <x v="0"/>
    <n v="21"/>
    <x v="12"/>
    <x v="497"/>
    <x v="0"/>
    <s v="Middle"/>
    <s v="Yes"/>
    <n v="96"/>
    <n v="8.6999999999999993"/>
    <n v="67.736032040272207"/>
    <s v="Yes"/>
  </r>
  <r>
    <x v="534"/>
    <x v="1"/>
    <n v="15"/>
    <x v="14"/>
    <x v="498"/>
    <x v="3"/>
    <s v="High"/>
    <s v="Yes"/>
    <n v="70"/>
    <n v="5.7"/>
    <n v="54.677353430691902"/>
    <s v="Yes"/>
  </r>
  <r>
    <x v="535"/>
    <x v="1"/>
    <n v="18"/>
    <x v="25"/>
    <x v="44"/>
    <x v="4"/>
    <s v="Low"/>
    <s v="Yes"/>
    <n v="89"/>
    <n v="6.8"/>
    <n v="54.908603568920398"/>
    <s v="No"/>
  </r>
  <r>
    <x v="536"/>
    <x v="1"/>
    <n v="18"/>
    <x v="16"/>
    <x v="499"/>
    <x v="4"/>
    <s v="High"/>
    <s v="Yes"/>
    <n v="80"/>
    <n v="6.7"/>
    <n v="52.337724405279097"/>
    <s v="No"/>
  </r>
  <r>
    <x v="537"/>
    <x v="1"/>
    <n v="20"/>
    <x v="9"/>
    <x v="420"/>
    <x v="0"/>
    <s v="High"/>
    <s v="No"/>
    <n v="83"/>
    <n v="4.0999999999999996"/>
    <n v="62.737729651041398"/>
    <s v="Yes"/>
  </r>
  <r>
    <x v="538"/>
    <x v="1"/>
    <n v="18"/>
    <x v="20"/>
    <x v="500"/>
    <x v="1"/>
    <s v="Low"/>
    <s v="Yes"/>
    <n v="60"/>
    <n v="4.2"/>
    <n v="48.175694056127703"/>
    <s v="Yes"/>
  </r>
  <r>
    <x v="539"/>
    <x v="0"/>
    <n v="17"/>
    <x v="25"/>
    <x v="501"/>
    <x v="0"/>
    <s v="Low"/>
    <s v="Yes"/>
    <n v="52"/>
    <n v="5.2"/>
    <n v="40"/>
    <s v="Yes"/>
  </r>
  <r>
    <x v="540"/>
    <x v="1"/>
    <n v="16"/>
    <x v="9"/>
    <x v="502"/>
    <x v="3"/>
    <s v="Middle"/>
    <s v="Yes"/>
    <n v="99"/>
    <n v="8.6999999999999993"/>
    <n v="58.146849220519798"/>
    <s v="Yes"/>
  </r>
  <r>
    <x v="541"/>
    <x v="0"/>
    <n v="21"/>
    <x v="15"/>
    <x v="503"/>
    <x v="2"/>
    <s v="High"/>
    <s v="No"/>
    <n v="55"/>
    <n v="8.5"/>
    <n v="42.945210332475"/>
    <s v="Yes"/>
  </r>
  <r>
    <x v="542"/>
    <x v="0"/>
    <n v="18"/>
    <x v="14"/>
    <x v="504"/>
    <x v="1"/>
    <s v="High"/>
    <s v="Yes"/>
    <n v="78"/>
    <n v="7.2"/>
    <n v="52.706359586369103"/>
    <s v="No"/>
  </r>
  <r>
    <x v="543"/>
    <x v="0"/>
    <n v="19"/>
    <x v="2"/>
    <x v="505"/>
    <x v="3"/>
    <s v="High"/>
    <s v="No"/>
    <n v="66"/>
    <n v="4.3"/>
    <n v="54.1106585832351"/>
    <s v="No"/>
  </r>
  <r>
    <x v="544"/>
    <x v="1"/>
    <n v="16"/>
    <x v="25"/>
    <x v="82"/>
    <x v="1"/>
    <s v="High"/>
    <s v="Yes"/>
    <n v="62"/>
    <n v="8.8000000000000007"/>
    <n v="42.806483971434197"/>
    <s v="Yes"/>
  </r>
  <r>
    <x v="545"/>
    <x v="0"/>
    <n v="20"/>
    <x v="15"/>
    <x v="506"/>
    <x v="1"/>
    <s v="Low"/>
    <s v="No"/>
    <n v="59"/>
    <n v="4.3"/>
    <n v="40"/>
    <s v="No"/>
  </r>
  <r>
    <x v="546"/>
    <x v="1"/>
    <n v="20"/>
    <x v="4"/>
    <x v="507"/>
    <x v="4"/>
    <s v="Low"/>
    <s v="No"/>
    <n v="62"/>
    <n v="6.5"/>
    <n v="40.311528183739199"/>
    <s v="No"/>
  </r>
  <r>
    <x v="547"/>
    <x v="1"/>
    <n v="19"/>
    <x v="22"/>
    <x v="508"/>
    <x v="1"/>
    <s v="High"/>
    <s v="Yes"/>
    <n v="96"/>
    <n v="7.1"/>
    <n v="56.420819995386204"/>
    <s v="Yes"/>
  </r>
  <r>
    <x v="548"/>
    <x v="1"/>
    <n v="19"/>
    <x v="11"/>
    <x v="509"/>
    <x v="4"/>
    <s v="High"/>
    <s v="No"/>
    <n v="91"/>
    <n v="7.5"/>
    <n v="55.456457228361202"/>
    <s v="No"/>
  </r>
  <r>
    <x v="549"/>
    <x v="0"/>
    <n v="20"/>
    <x v="20"/>
    <x v="510"/>
    <x v="2"/>
    <s v="High"/>
    <s v="No"/>
    <n v="77"/>
    <n v="8.6"/>
    <n v="52.4498224538995"/>
    <s v="No"/>
  </r>
  <r>
    <x v="550"/>
    <x v="0"/>
    <n v="15"/>
    <x v="20"/>
    <x v="511"/>
    <x v="1"/>
    <s v="High"/>
    <s v="Yes"/>
    <n v="47"/>
    <n v="5.7"/>
    <n v="46.629214572982697"/>
    <s v="No"/>
  </r>
  <r>
    <x v="551"/>
    <x v="0"/>
    <n v="15"/>
    <x v="21"/>
    <x v="88"/>
    <x v="2"/>
    <s v="High"/>
    <s v="Yes"/>
    <n v="59"/>
    <n v="5.9"/>
    <n v="44.782718216464602"/>
    <s v="Yes"/>
  </r>
  <r>
    <x v="552"/>
    <x v="1"/>
    <n v="17"/>
    <x v="0"/>
    <x v="512"/>
    <x v="0"/>
    <s v="High"/>
    <s v="No"/>
    <n v="61"/>
    <n v="6.7"/>
    <n v="43.264153392796899"/>
    <s v="No"/>
  </r>
  <r>
    <x v="553"/>
    <x v="0"/>
    <n v="17"/>
    <x v="3"/>
    <x v="513"/>
    <x v="1"/>
    <s v="High"/>
    <s v="Yes"/>
    <n v="81"/>
    <n v="5.2"/>
    <n v="59.469180335592497"/>
    <s v="Yes"/>
  </r>
  <r>
    <x v="554"/>
    <x v="1"/>
    <n v="21"/>
    <x v="18"/>
    <x v="514"/>
    <x v="1"/>
    <s v="Low"/>
    <s v="No"/>
    <n v="59"/>
    <n v="6.7"/>
    <n v="40"/>
    <s v="No"/>
  </r>
  <r>
    <x v="555"/>
    <x v="1"/>
    <n v="20"/>
    <x v="8"/>
    <x v="515"/>
    <x v="3"/>
    <s v="High"/>
    <s v="Yes"/>
    <n v="92"/>
    <n v="5.7"/>
    <n v="50.104302728168797"/>
    <s v="No"/>
  </r>
  <r>
    <x v="556"/>
    <x v="0"/>
    <n v="17"/>
    <x v="1"/>
    <x v="516"/>
    <x v="0"/>
    <s v="High"/>
    <s v="Yes"/>
    <n v="62"/>
    <n v="8.6"/>
    <n v="49.513007154895298"/>
    <s v="Yes"/>
  </r>
  <r>
    <x v="557"/>
    <x v="1"/>
    <n v="15"/>
    <x v="14"/>
    <x v="311"/>
    <x v="1"/>
    <s v="Middle"/>
    <s v="No"/>
    <n v="98"/>
    <n v="5.5"/>
    <n v="51.403458947314498"/>
    <s v="Yes"/>
  </r>
  <r>
    <x v="558"/>
    <x v="0"/>
    <n v="18"/>
    <x v="1"/>
    <x v="517"/>
    <x v="0"/>
    <s v="Low"/>
    <s v="No"/>
    <n v="72"/>
    <n v="7.2"/>
    <n v="40.810169530455603"/>
    <s v="Yes"/>
  </r>
  <r>
    <x v="559"/>
    <x v="0"/>
    <n v="16"/>
    <x v="0"/>
    <x v="518"/>
    <x v="0"/>
    <s v="Low"/>
    <s v="Yes"/>
    <n v="98"/>
    <n v="5.9"/>
    <n v="61.208767469251001"/>
    <s v="Yes"/>
  </r>
  <r>
    <x v="560"/>
    <x v="0"/>
    <n v="16"/>
    <x v="4"/>
    <x v="519"/>
    <x v="4"/>
    <s v="High"/>
    <s v="Yes"/>
    <n v="80"/>
    <n v="8.9"/>
    <n v="50.949235712010797"/>
    <s v="Yes"/>
  </r>
  <r>
    <x v="561"/>
    <x v="0"/>
    <n v="15"/>
    <x v="19"/>
    <x v="520"/>
    <x v="1"/>
    <s v="Middle"/>
    <s v="No"/>
    <n v="64"/>
    <n v="8.5"/>
    <n v="42.068831209419699"/>
    <s v="Yes"/>
  </r>
  <r>
    <x v="562"/>
    <x v="0"/>
    <n v="21"/>
    <x v="5"/>
    <x v="521"/>
    <x v="3"/>
    <s v="Low"/>
    <s v="Yes"/>
    <n v="86"/>
    <n v="5.6"/>
    <n v="66.711915167727099"/>
    <s v="No"/>
  </r>
  <r>
    <x v="563"/>
    <x v="0"/>
    <n v="17"/>
    <x v="27"/>
    <x v="522"/>
    <x v="2"/>
    <s v="High"/>
    <s v="Yes"/>
    <n v="63"/>
    <n v="4"/>
    <n v="45.184162384295497"/>
    <s v="No"/>
  </r>
  <r>
    <x v="564"/>
    <x v="1"/>
    <n v="17"/>
    <x v="24"/>
    <x v="523"/>
    <x v="1"/>
    <s v="High"/>
    <s v="No"/>
    <n v="88"/>
    <n v="5.5"/>
    <n v="58.659788283020397"/>
    <s v="No"/>
  </r>
  <r>
    <x v="565"/>
    <x v="1"/>
    <n v="20"/>
    <x v="24"/>
    <x v="524"/>
    <x v="4"/>
    <s v="Middle"/>
    <s v="Yes"/>
    <n v="53"/>
    <n v="6.5"/>
    <n v="42.465785906001599"/>
    <s v="No"/>
  </r>
  <r>
    <x v="566"/>
    <x v="0"/>
    <n v="16"/>
    <x v="11"/>
    <x v="525"/>
    <x v="0"/>
    <s v="High"/>
    <s v="No"/>
    <n v="51"/>
    <n v="5.7"/>
    <n v="40"/>
    <s v="Yes"/>
  </r>
  <r>
    <x v="567"/>
    <x v="1"/>
    <n v="18"/>
    <x v="14"/>
    <x v="526"/>
    <x v="1"/>
    <s v="Middle"/>
    <s v="No"/>
    <n v="72"/>
    <n v="7.3"/>
    <n v="56.956605230140198"/>
    <s v="Yes"/>
  </r>
  <r>
    <x v="568"/>
    <x v="1"/>
    <n v="21"/>
    <x v="19"/>
    <x v="527"/>
    <x v="3"/>
    <s v="High"/>
    <s v="No"/>
    <n v="94"/>
    <n v="5.7"/>
    <n v="61.6617898382475"/>
    <s v="Yes"/>
  </r>
  <r>
    <x v="569"/>
    <x v="1"/>
    <n v="18"/>
    <x v="5"/>
    <x v="528"/>
    <x v="2"/>
    <s v="Low"/>
    <s v="Yes"/>
    <n v="56"/>
    <n v="5.6"/>
    <n v="48.720231473866299"/>
    <s v="No"/>
  </r>
  <r>
    <x v="570"/>
    <x v="1"/>
    <n v="21"/>
    <x v="9"/>
    <x v="344"/>
    <x v="4"/>
    <s v="High"/>
    <s v="No"/>
    <n v="62"/>
    <n v="8.5"/>
    <n v="45.132660470276299"/>
    <s v="No"/>
  </r>
  <r>
    <x v="571"/>
    <x v="1"/>
    <n v="20"/>
    <x v="10"/>
    <x v="529"/>
    <x v="1"/>
    <s v="High"/>
    <s v="No"/>
    <n v="97"/>
    <n v="5.5"/>
    <n v="57.422006206133197"/>
    <s v="No"/>
  </r>
  <r>
    <x v="572"/>
    <x v="0"/>
    <n v="18"/>
    <x v="23"/>
    <x v="530"/>
    <x v="1"/>
    <s v="Low"/>
    <s v="Yes"/>
    <n v="90"/>
    <n v="7"/>
    <n v="52.697558322426197"/>
    <s v="Yes"/>
  </r>
  <r>
    <x v="573"/>
    <x v="0"/>
    <n v="19"/>
    <x v="9"/>
    <x v="531"/>
    <x v="1"/>
    <s v="High"/>
    <s v="No"/>
    <n v="86"/>
    <n v="6.6"/>
    <n v="52.813825233874098"/>
    <s v="No"/>
  </r>
  <r>
    <x v="574"/>
    <x v="1"/>
    <n v="15"/>
    <x v="0"/>
    <x v="532"/>
    <x v="1"/>
    <s v="Low"/>
    <s v="Yes"/>
    <n v="91"/>
    <n v="5.3"/>
    <n v="57.351695195846702"/>
    <s v="No"/>
  </r>
  <r>
    <x v="575"/>
    <x v="0"/>
    <n v="16"/>
    <x v="8"/>
    <x v="533"/>
    <x v="0"/>
    <s v="Middle"/>
    <s v="No"/>
    <n v="90"/>
    <n v="4.7"/>
    <n v="52.5169697202629"/>
    <s v="Yes"/>
  </r>
  <r>
    <x v="576"/>
    <x v="0"/>
    <n v="21"/>
    <x v="7"/>
    <x v="413"/>
    <x v="1"/>
    <s v="High"/>
    <s v="Yes"/>
    <n v="69"/>
    <n v="5.8"/>
    <n v="52.790390818493897"/>
    <s v="Yes"/>
  </r>
  <r>
    <x v="577"/>
    <x v="1"/>
    <n v="21"/>
    <x v="21"/>
    <x v="534"/>
    <x v="0"/>
    <s v="Low"/>
    <s v="No"/>
    <n v="60"/>
    <n v="5.6"/>
    <n v="50.637436791310698"/>
    <s v="Yes"/>
  </r>
  <r>
    <x v="578"/>
    <x v="1"/>
    <n v="21"/>
    <x v="4"/>
    <x v="535"/>
    <x v="4"/>
    <s v="Low"/>
    <s v="Yes"/>
    <n v="75"/>
    <n v="5.8"/>
    <n v="47.246985300957498"/>
    <s v="Yes"/>
  </r>
  <r>
    <x v="579"/>
    <x v="0"/>
    <n v="19"/>
    <x v="21"/>
    <x v="536"/>
    <x v="4"/>
    <s v="Low"/>
    <s v="Yes"/>
    <n v="83"/>
    <n v="8.1"/>
    <n v="52.396229206344799"/>
    <s v="Yes"/>
  </r>
  <r>
    <x v="580"/>
    <x v="0"/>
    <n v="17"/>
    <x v="22"/>
    <x v="537"/>
    <x v="1"/>
    <s v="Low"/>
    <s v="Yes"/>
    <n v="97"/>
    <n v="6.7"/>
    <n v="55.5559533607506"/>
    <s v="No"/>
  </r>
  <r>
    <x v="581"/>
    <x v="1"/>
    <n v="15"/>
    <x v="21"/>
    <x v="538"/>
    <x v="0"/>
    <s v="Middle"/>
    <s v="Yes"/>
    <n v="69"/>
    <n v="8.9"/>
    <n v="49.914025256946303"/>
    <s v="No"/>
  </r>
  <r>
    <x v="582"/>
    <x v="1"/>
    <n v="15"/>
    <x v="20"/>
    <x v="539"/>
    <x v="0"/>
    <s v="Low"/>
    <s v="Yes"/>
    <n v="52"/>
    <n v="5.5"/>
    <n v="46.626097613504498"/>
    <s v="Yes"/>
  </r>
  <r>
    <x v="583"/>
    <x v="1"/>
    <n v="18"/>
    <x v="19"/>
    <x v="540"/>
    <x v="0"/>
    <s v="Middle"/>
    <s v="Yes"/>
    <n v="79"/>
    <n v="5.2"/>
    <n v="56.4637822529359"/>
    <s v="No"/>
  </r>
  <r>
    <x v="584"/>
    <x v="1"/>
    <n v="21"/>
    <x v="11"/>
    <x v="541"/>
    <x v="4"/>
    <s v="Low"/>
    <s v="Yes"/>
    <n v="65"/>
    <n v="4.2"/>
    <n v="45.883709301603602"/>
    <s v="Yes"/>
  </r>
  <r>
    <x v="585"/>
    <x v="1"/>
    <n v="17"/>
    <x v="19"/>
    <x v="542"/>
    <x v="4"/>
    <s v="Middle"/>
    <s v="Yes"/>
    <n v="57"/>
    <n v="8.3000000000000007"/>
    <n v="40.910958241870702"/>
    <s v="Yes"/>
  </r>
  <r>
    <x v="586"/>
    <x v="0"/>
    <n v="19"/>
    <x v="23"/>
    <x v="280"/>
    <x v="2"/>
    <s v="Middle"/>
    <s v="Yes"/>
    <n v="65"/>
    <n v="6.4"/>
    <n v="47.922181639638303"/>
    <s v="No"/>
  </r>
  <r>
    <x v="587"/>
    <x v="0"/>
    <n v="16"/>
    <x v="22"/>
    <x v="543"/>
    <x v="4"/>
    <s v="Low"/>
    <s v="Yes"/>
    <n v="93"/>
    <n v="5.5"/>
    <n v="56.9485839623039"/>
    <s v="No"/>
  </r>
  <r>
    <x v="588"/>
    <x v="0"/>
    <n v="15"/>
    <x v="26"/>
    <x v="544"/>
    <x v="3"/>
    <s v="High"/>
    <s v="No"/>
    <n v="66"/>
    <n v="4.0999999999999996"/>
    <n v="47.253879643878101"/>
    <s v="Yes"/>
  </r>
  <r>
    <x v="589"/>
    <x v="1"/>
    <n v="19"/>
    <x v="6"/>
    <x v="545"/>
    <x v="1"/>
    <s v="Low"/>
    <s v="Yes"/>
    <n v="84"/>
    <n v="7.1"/>
    <n v="51.376385889613303"/>
    <s v="No"/>
  </r>
  <r>
    <x v="590"/>
    <x v="1"/>
    <n v="18"/>
    <x v="13"/>
    <x v="546"/>
    <x v="1"/>
    <s v="Low"/>
    <s v="No"/>
    <n v="50"/>
    <n v="5.5"/>
    <n v="40.169603550952701"/>
    <s v="No"/>
  </r>
  <r>
    <x v="591"/>
    <x v="1"/>
    <n v="17"/>
    <x v="25"/>
    <x v="547"/>
    <x v="4"/>
    <s v="Low"/>
    <s v="Yes"/>
    <n v="89"/>
    <n v="7.3"/>
    <n v="51.452852440268302"/>
    <s v="Yes"/>
  </r>
  <r>
    <x v="592"/>
    <x v="1"/>
    <n v="15"/>
    <x v="9"/>
    <x v="548"/>
    <x v="0"/>
    <s v="Low"/>
    <s v="Yes"/>
    <n v="90"/>
    <n v="4.5999999999999996"/>
    <n v="61.131552892366997"/>
    <s v="No"/>
  </r>
  <r>
    <x v="593"/>
    <x v="1"/>
    <n v="19"/>
    <x v="9"/>
    <x v="549"/>
    <x v="1"/>
    <s v="Low"/>
    <s v="Yes"/>
    <n v="91"/>
    <n v="6.6"/>
    <n v="61.970290692819098"/>
    <s v="Yes"/>
  </r>
  <r>
    <x v="594"/>
    <x v="1"/>
    <n v="20"/>
    <x v="2"/>
    <x v="550"/>
    <x v="4"/>
    <s v="High"/>
    <s v="No"/>
    <n v="65"/>
    <n v="4.7"/>
    <n v="46.807005084727102"/>
    <s v="No"/>
  </r>
  <r>
    <x v="595"/>
    <x v="1"/>
    <n v="15"/>
    <x v="26"/>
    <x v="551"/>
    <x v="2"/>
    <s v="High"/>
    <s v="Yes"/>
    <n v="50"/>
    <n v="7.3"/>
    <n v="40"/>
    <s v="No"/>
  </r>
  <r>
    <x v="596"/>
    <x v="0"/>
    <n v="15"/>
    <x v="0"/>
    <x v="552"/>
    <x v="3"/>
    <s v="High"/>
    <s v="No"/>
    <n v="85"/>
    <n v="7.7"/>
    <n v="63.760029263941902"/>
    <s v="Yes"/>
  </r>
  <r>
    <x v="597"/>
    <x v="0"/>
    <n v="15"/>
    <x v="23"/>
    <x v="534"/>
    <x v="3"/>
    <s v="Low"/>
    <s v="Yes"/>
    <n v="87"/>
    <n v="8"/>
    <n v="59.262599776039103"/>
    <s v="Yes"/>
  </r>
  <r>
    <x v="598"/>
    <x v="0"/>
    <n v="16"/>
    <x v="8"/>
    <x v="258"/>
    <x v="2"/>
    <s v="Middle"/>
    <s v="Yes"/>
    <n v="70"/>
    <n v="8"/>
    <n v="47.701561106777703"/>
    <s v="Yes"/>
  </r>
  <r>
    <x v="599"/>
    <x v="1"/>
    <n v="21"/>
    <x v="8"/>
    <x v="553"/>
    <x v="4"/>
    <s v="High"/>
    <s v="Yes"/>
    <n v="49"/>
    <n v="8.4"/>
    <n v="40"/>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785715-3467-46D4-AE63-C70C7E20EF6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2:E17" firstHeaderRow="1" firstDataRow="1" firstDataCol="1"/>
  <pivotFields count="12">
    <pivotField showAll="0"/>
    <pivotField showAll="0">
      <items count="3">
        <item x="1"/>
        <item x="0"/>
        <item t="default"/>
      </items>
    </pivotField>
    <pivotField numFmtId="49" showAll="0"/>
    <pivotField showAll="0">
      <items count="9">
        <item x="0"/>
        <item x="1"/>
        <item x="2"/>
        <item x="3"/>
        <item x="4"/>
        <item x="5"/>
        <item x="6"/>
        <item x="7"/>
        <item t="default"/>
      </items>
    </pivotField>
    <pivotField axis="axisRow" showAll="0">
      <items count="7">
        <item x="0"/>
        <item x="1"/>
        <item x="2"/>
        <item x="3"/>
        <item x="4"/>
        <item x="5"/>
        <item t="default"/>
      </items>
    </pivotField>
    <pivotField showAll="0"/>
    <pivotField showAll="0"/>
    <pivotField showAll="0"/>
    <pivotField showAll="0"/>
    <pivotField showAll="0"/>
    <pivotField dataField="1" showAll="0"/>
    <pivotField showAll="0"/>
  </pivotFields>
  <rowFields count="1">
    <field x="4"/>
  </rowFields>
  <rowItems count="5">
    <i>
      <x v="1"/>
    </i>
    <i>
      <x v="2"/>
    </i>
    <i>
      <x v="3"/>
    </i>
    <i>
      <x v="4"/>
    </i>
    <i t="grand">
      <x/>
    </i>
  </rowItems>
  <colItems count="1">
    <i/>
  </colItems>
  <dataFields count="1">
    <dataField name="Average of Final_Exam_Score" fld="10" subtotal="average" baseField="1" baseItem="0"/>
  </dataFields>
  <chartFormats count="2">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0B4703-38BD-4D57-B37E-A402CCD2121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10" firstHeaderRow="1" firstDataRow="1" firstDataCol="1"/>
  <pivotFields count="12">
    <pivotField showAll="0"/>
    <pivotField showAll="0">
      <items count="3">
        <item x="1"/>
        <item x="0"/>
        <item t="default"/>
      </items>
    </pivotField>
    <pivotField numFmtId="49" showAll="0"/>
    <pivotField axis="axisRow" showAll="0">
      <items count="9">
        <item x="0"/>
        <item x="1"/>
        <item x="2"/>
        <item x="3"/>
        <item x="4"/>
        <item x="5"/>
        <item x="6"/>
        <item x="7"/>
        <item t="default"/>
      </items>
    </pivotField>
    <pivotField showAll="0">
      <items count="7">
        <item x="0"/>
        <item x="1"/>
        <item x="2"/>
        <item x="3"/>
        <item x="4"/>
        <item x="5"/>
        <item t="default"/>
      </items>
    </pivotField>
    <pivotField showAll="0"/>
    <pivotField showAll="0"/>
    <pivotField showAll="0"/>
    <pivotField showAll="0"/>
    <pivotField showAll="0"/>
    <pivotField dataField="1" showAll="0"/>
    <pivotField showAll="0"/>
  </pivotFields>
  <rowFields count="1">
    <field x="3"/>
  </rowFields>
  <rowItems count="7">
    <i>
      <x v="1"/>
    </i>
    <i>
      <x v="2"/>
    </i>
    <i>
      <x v="3"/>
    </i>
    <i>
      <x v="4"/>
    </i>
    <i>
      <x v="5"/>
    </i>
    <i>
      <x v="6"/>
    </i>
    <i t="grand">
      <x/>
    </i>
  </rowItems>
  <colItems count="1">
    <i/>
  </colItems>
  <dataFields count="1">
    <dataField name="Average of Final_Exam_Score" fld="10" subtotal="average" baseField="1" baseItem="0"/>
  </dataFields>
  <chartFormats count="2">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ACDFE8-4DE1-45D7-9239-5534D387189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9:B15" firstHeaderRow="1" firstDataRow="1" firstDataCol="1"/>
  <pivotFields count="12">
    <pivotField showAll="0"/>
    <pivotField showAll="0">
      <items count="3">
        <item x="1"/>
        <item x="0"/>
        <item t="default"/>
      </items>
    </pivotField>
    <pivotField numFmtId="49" showAll="0"/>
    <pivotField showAll="0">
      <items count="9">
        <item x="0"/>
        <item x="1"/>
        <item x="2"/>
        <item x="3"/>
        <item x="4"/>
        <item x="5"/>
        <item x="6"/>
        <item x="7"/>
        <item t="default"/>
      </items>
    </pivotField>
    <pivotField showAll="0">
      <items count="7">
        <item x="0"/>
        <item x="1"/>
        <item x="2"/>
        <item x="3"/>
        <item x="4"/>
        <item x="5"/>
        <item t="default"/>
      </items>
    </pivotField>
    <pivotField axis="axisRow" showAll="0">
      <items count="6">
        <item x="3"/>
        <item x="0"/>
        <item x="1"/>
        <item x="2"/>
        <item x="4"/>
        <item t="default"/>
      </items>
    </pivotField>
    <pivotField showAll="0"/>
    <pivotField showAll="0"/>
    <pivotField showAll="0"/>
    <pivotField showAll="0"/>
    <pivotField dataField="1" showAll="0"/>
    <pivotField showAll="0"/>
  </pivotFields>
  <rowFields count="1">
    <field x="5"/>
  </rowFields>
  <rowItems count="6">
    <i>
      <x/>
    </i>
    <i>
      <x v="1"/>
    </i>
    <i>
      <x v="2"/>
    </i>
    <i>
      <x v="3"/>
    </i>
    <i>
      <x v="4"/>
    </i>
    <i t="grand">
      <x/>
    </i>
  </rowItems>
  <colItems count="1">
    <i/>
  </colItems>
  <dataFields count="1">
    <dataField name="Average of Final_Exam_Score" fld="10" subtotal="average" baseField="5" baseItem="0"/>
  </dataFields>
  <chartFormats count="2">
    <chartFormat chart="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D3803A-85D6-4C01-86F9-AD03E4BFB71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12">
    <pivotField showAll="0"/>
    <pivotField axis="axisRow" showAll="0">
      <items count="3">
        <item x="1"/>
        <item x="0"/>
        <item t="default"/>
      </items>
    </pivotField>
    <pivotField numFmtId="49" showAll="0"/>
    <pivotField showAll="0">
      <items count="9">
        <item x="0"/>
        <item x="1"/>
        <item x="2"/>
        <item x="3"/>
        <item x="4"/>
        <item x="5"/>
        <item x="6"/>
        <item x="7"/>
        <item t="default"/>
      </items>
    </pivotField>
    <pivotField showAll="0">
      <items count="7">
        <item x="0"/>
        <item x="1"/>
        <item x="2"/>
        <item x="3"/>
        <item x="4"/>
        <item x="5"/>
        <item t="default"/>
      </items>
    </pivotField>
    <pivotField showAll="0"/>
    <pivotField showAll="0"/>
    <pivotField showAll="0"/>
    <pivotField showAll="0"/>
    <pivotField showAll="0"/>
    <pivotField dataField="1" showAll="0"/>
    <pivotField showAll="0"/>
  </pivotFields>
  <rowFields count="1">
    <field x="1"/>
  </rowFields>
  <rowItems count="3">
    <i>
      <x/>
    </i>
    <i>
      <x v="1"/>
    </i>
    <i t="grand">
      <x/>
    </i>
  </rowItems>
  <colItems count="1">
    <i/>
  </colItems>
  <dataFields count="1">
    <dataField name="Average of Final_Exam_Score" fld="10" subtotal="average" baseField="1" baseItem="0"/>
  </dataFields>
  <chartFormats count="2">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720CC2-1EEE-44AC-9780-81D54FD2397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9:I26" firstHeaderRow="1" firstDataRow="1" firstDataCol="0"/>
  <pivotFields count="12">
    <pivotField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showAll="0">
      <items count="3">
        <item x="1"/>
        <item x="0"/>
        <item t="default"/>
      </items>
    </pivotField>
    <pivotField numFmtId="49" showAll="0"/>
    <pivotField showAll="0">
      <items count="9">
        <item x="0"/>
        <item x="1"/>
        <item x="2"/>
        <item x="3"/>
        <item x="4"/>
        <item x="5"/>
        <item x="6"/>
        <item x="7"/>
        <item t="default"/>
      </items>
    </pivotField>
    <pivotField showAll="0">
      <items count="7">
        <item x="0"/>
        <item x="1"/>
        <item x="2"/>
        <item x="3"/>
        <item x="4"/>
        <item x="5"/>
        <item t="default"/>
      </items>
    </pivotField>
    <pivotField showAll="0">
      <items count="6">
        <item h="1" x="3"/>
        <item h="1" x="0"/>
        <item h="1" x="1"/>
        <item h="1" x="2"/>
        <item x="4"/>
        <item t="default"/>
      </items>
    </pivotField>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C7E58E-DB74-46C6-94EC-012F369EE79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6" firstHeaderRow="1" firstDataRow="1" firstDataCol="1"/>
  <pivotFields count="12">
    <pivotField dataField="1" showAll="0"/>
    <pivotField axis="axisRow" showAll="0">
      <items count="3">
        <item x="1"/>
        <item x="0"/>
        <item t="default"/>
      </items>
    </pivotField>
    <pivotField numFmtId="49" showAll="0"/>
    <pivotField showAll="0">
      <items count="9">
        <item x="0"/>
        <item x="1"/>
        <item x="2"/>
        <item x="3"/>
        <item x="4"/>
        <item x="5"/>
        <item x="6"/>
        <item x="7"/>
        <item t="default"/>
      </items>
    </pivotField>
    <pivotField showAll="0">
      <items count="7">
        <item x="0"/>
        <item x="1"/>
        <item x="2"/>
        <item x="3"/>
        <item x="4"/>
        <item x="5"/>
        <item t="default"/>
      </items>
    </pivotField>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Student_ID" fld="0" subtotal="count" baseField="0" baseItem="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ECD811A-DF00-41D6-AA64-5AA802F0FBF8}" sourceName="Gender">
  <pivotTables>
    <pivotTable tabId="9" name="PivotTable6"/>
  </pivotTables>
  <data>
    <tabular pivotCacheId="149017773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Education_Level" xr10:uid="{8E46A5E1-272D-497B-A284-0D40E5D5976E}" sourceName="Parental_Education_Level">
  <pivotTables>
    <pivotTable tabId="9" name="PivotTable6"/>
  </pivotTables>
  <data>
    <tabular pivotCacheId="1490177730">
      <items count="5">
        <i x="3"/>
        <i x="0"/>
        <i x="1"/>
        <i x="2"/>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84FBF6B-D772-4249-A127-FFCA6046B25D}" cache="Slicer_Gender" caption="Gender" columnCount="2" showCaption="0" style="SlicerStyleDark3" rowHeight="241300"/>
  <slicer name="Parental_Education_Level" xr10:uid="{13B6F604-AF2F-4779-BE79-326DA6A90C4B}" cache="Slicer_Parental_Education_Level" caption="Parental_Education_Level" columnCount="5" showCaption="0"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862352-E657-473F-BCD2-7FA0FC786BD3}" name="Table2" displayName="Table2" ref="A1:M601" totalsRowShown="0">
  <autoFilter ref="A1:M601" xr:uid="{48862352-E657-473F-BCD2-7FA0FC786BD3}"/>
  <tableColumns count="13">
    <tableColumn id="1" xr3:uid="{0F448DC1-62FE-4FB2-BE1D-FF983673CAD0}" name="Student_ID"/>
    <tableColumn id="2" xr3:uid="{FFC058F5-CF32-4CC0-8B9B-57ABE79DBEAF}" name="Gender"/>
    <tableColumn id="3" xr3:uid="{DB892D4D-315C-4B33-AF36-FC50C22F0F61}" name="Age" dataDxfId="1"/>
    <tableColumn id="4" xr3:uid="{FD3B9B3D-98BB-4BE8-818F-FF5E418AC7A9}" name="Study_Hours_Per_Week"/>
    <tableColumn id="5" xr3:uid="{06363FAE-1FC6-47A0-B0DE-A44CCB436808}" name="Attendance_Rate"/>
    <tableColumn id="6" xr3:uid="{32D05C0D-BC2B-44FD-B7B4-BF666A13D8EF}" name="Parental_Education_Level"/>
    <tableColumn id="7" xr3:uid="{93646555-E5D1-471A-875C-D8EACA3F5E4C}" name="Family_Income_Level"/>
    <tableColumn id="8" xr3:uid="{B9574A30-ED76-4110-9F3A-968F9A4A0686}" name="Internet_Access"/>
    <tableColumn id="9" xr3:uid="{B56273FC-A2CB-4532-8C3D-2916F35697FD}" name="Previous_Grade"/>
    <tableColumn id="10" xr3:uid="{C327ABDD-6721-413B-88FE-4671422E10B9}" name="Sleep_Hours_Per_Night"/>
    <tableColumn id="11" xr3:uid="{F574EBB3-95C1-46B8-BB36-C35582BB917C}" name="Final_Exam_Score"/>
    <tableColumn id="12" xr3:uid="{82E01244-2021-49CD-99F8-201FA331A94C}" name="Extracurricular_Participation"/>
    <tableColumn id="13" xr3:uid="{998B3C7C-6C5F-41E8-AC13-432BC99D5406}" name="Pass/Fail" dataDxfId="0">
      <calculatedColumnFormula>IF(Table2[[#This Row],[Final_Exam_Score]]&gt;= 50,"Pass","Fail")</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96F778F-C4D0-40E9-B8AB-21C272C4D63F}" name="Table3" displayName="Table3" ref="A1:C7" totalsRowShown="0">
  <autoFilter ref="A1:C7" xr:uid="{496F778F-C4D0-40E9-B8AB-21C272C4D63F}"/>
  <tableColumns count="3">
    <tableColumn id="1" xr3:uid="{1BAFB93A-ED13-46BF-AB43-A7309035A1A5}" name="Variable 1"/>
    <tableColumn id="2" xr3:uid="{7741A20E-9184-44BE-BC13-322DEC09FCE1}" name="Variable 2"/>
    <tableColumn id="3" xr3:uid="{F50363FA-FD21-46DF-9F85-E475B6F77F56}" name="Correction ®"/>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B8AB19-E52D-40AD-AB90-88992624E6C0}" name="Table1" displayName="Table1" ref="A1:G6">
  <autoFilter ref="A1:G6" xr:uid="{2DB8AB19-E52D-40AD-AB90-88992624E6C0}"/>
  <tableColumns count="7">
    <tableColumn id="1" xr3:uid="{3C77FE74-7DF0-4068-8272-DC11A68FDB46}" name="Variable " totalsRowLabel="Total"/>
    <tableColumn id="2" xr3:uid="{E68582E3-426A-4DAD-A6F5-220F03DCA72A}" name="Count "/>
    <tableColumn id="3" xr3:uid="{04101C64-954D-4DB3-B7C0-34B98C71723A}" name="Mean "/>
    <tableColumn id="4" xr3:uid="{0A6CC8FE-0D8D-4976-B71C-D8990B45D63F}" name="Median "/>
    <tableColumn id="5" xr3:uid="{5186DE7B-7BE0-4E84-8C9E-2B37FB10360B}" name="Standard Deviation "/>
    <tableColumn id="6" xr3:uid="{7A1B6531-2BC8-4A0C-A2D4-70FD74A75D20}" name="Min "/>
    <tableColumn id="7" xr3:uid="{1B68F911-9D98-4C48-BE9F-4C14F4AC535E}" name="max" totalsRowFunction="sum"/>
  </tableColumns>
  <tableStyleInfo name="TableStyleLight8"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F95DA-816D-4D34-ADA9-23CF5767D464}">
  <dimension ref="A3:I26"/>
  <sheetViews>
    <sheetView workbookViewId="0">
      <selection activeCell="F2" sqref="F2"/>
    </sheetView>
  </sheetViews>
  <sheetFormatPr defaultRowHeight="15" x14ac:dyDescent="0.25"/>
  <cols>
    <col min="1" max="1" width="13.140625" bestFit="1" customWidth="1"/>
    <col min="2" max="2" width="27.42578125" bestFit="1" customWidth="1"/>
    <col min="4" max="4" width="13.140625" bestFit="1" customWidth="1"/>
    <col min="5" max="5" width="27.42578125" bestFit="1" customWidth="1"/>
    <col min="7" max="7" width="13.140625" bestFit="1" customWidth="1"/>
    <col min="8" max="8" width="19.140625" bestFit="1" customWidth="1"/>
  </cols>
  <sheetData>
    <row r="3" spans="1:9" x14ac:dyDescent="0.25">
      <c r="A3" s="19" t="s">
        <v>712</v>
      </c>
      <c r="B3" t="s">
        <v>714</v>
      </c>
      <c r="D3" s="19" t="s">
        <v>712</v>
      </c>
      <c r="E3" t="s">
        <v>714</v>
      </c>
      <c r="G3" s="19" t="s">
        <v>712</v>
      </c>
      <c r="H3" t="s">
        <v>725</v>
      </c>
    </row>
    <row r="4" spans="1:9" x14ac:dyDescent="0.25">
      <c r="A4" s="20" t="s">
        <v>18</v>
      </c>
      <c r="B4">
        <v>51.01397316247968</v>
      </c>
      <c r="D4" s="20" t="s">
        <v>715</v>
      </c>
      <c r="E4">
        <v>47.499104814708858</v>
      </c>
      <c r="G4" s="20" t="s">
        <v>18</v>
      </c>
      <c r="H4">
        <v>314</v>
      </c>
    </row>
    <row r="5" spans="1:9" x14ac:dyDescent="0.25">
      <c r="A5" s="20" t="s">
        <v>13</v>
      </c>
      <c r="B5">
        <v>51.11910766985423</v>
      </c>
      <c r="D5" s="20" t="s">
        <v>716</v>
      </c>
      <c r="E5">
        <v>47.963473086858109</v>
      </c>
      <c r="G5" s="20" t="s">
        <v>13</v>
      </c>
      <c r="H5">
        <v>286</v>
      </c>
    </row>
    <row r="6" spans="1:9" x14ac:dyDescent="0.25">
      <c r="A6" s="20" t="s">
        <v>713</v>
      </c>
      <c r="B6">
        <v>51.064087277661521</v>
      </c>
      <c r="D6" s="20" t="s">
        <v>717</v>
      </c>
      <c r="E6">
        <v>49.603423629665862</v>
      </c>
      <c r="G6" s="20" t="s">
        <v>713</v>
      </c>
      <c r="H6">
        <v>600</v>
      </c>
    </row>
    <row r="7" spans="1:9" x14ac:dyDescent="0.25">
      <c r="D7" s="20" t="s">
        <v>718</v>
      </c>
      <c r="E7">
        <v>52.043548089471791</v>
      </c>
    </row>
    <row r="8" spans="1:9" x14ac:dyDescent="0.25">
      <c r="D8" s="20" t="s">
        <v>719</v>
      </c>
      <c r="E8">
        <v>52.910909153848827</v>
      </c>
    </row>
    <row r="9" spans="1:9" x14ac:dyDescent="0.25">
      <c r="A9" s="19" t="s">
        <v>712</v>
      </c>
      <c r="B9" t="s">
        <v>714</v>
      </c>
      <c r="D9" s="20" t="s">
        <v>720</v>
      </c>
      <c r="E9">
        <v>54.414443814396215</v>
      </c>
      <c r="G9" s="10"/>
      <c r="H9" s="11"/>
      <c r="I9" s="12"/>
    </row>
    <row r="10" spans="1:9" x14ac:dyDescent="0.25">
      <c r="A10" s="20" t="s">
        <v>28</v>
      </c>
      <c r="B10">
        <v>51.200102271834069</v>
      </c>
      <c r="D10" s="20" t="s">
        <v>713</v>
      </c>
      <c r="E10">
        <v>51.064087277661557</v>
      </c>
      <c r="G10" s="13"/>
      <c r="H10" s="14"/>
      <c r="I10" s="15"/>
    </row>
    <row r="11" spans="1:9" x14ac:dyDescent="0.25">
      <c r="A11" s="20" t="s">
        <v>14</v>
      </c>
      <c r="B11">
        <v>51.332680191274456</v>
      </c>
      <c r="G11" s="13"/>
      <c r="H11" s="14"/>
      <c r="I11" s="15"/>
    </row>
    <row r="12" spans="1:9" x14ac:dyDescent="0.25">
      <c r="A12" s="20" t="s">
        <v>19</v>
      </c>
      <c r="B12">
        <v>51.558908134657791</v>
      </c>
      <c r="D12" s="19" t="s">
        <v>712</v>
      </c>
      <c r="E12" t="s">
        <v>714</v>
      </c>
      <c r="G12" s="13"/>
      <c r="H12" s="14"/>
      <c r="I12" s="15"/>
    </row>
    <row r="13" spans="1:9" x14ac:dyDescent="0.25">
      <c r="A13" s="20" t="s">
        <v>22</v>
      </c>
      <c r="B13">
        <v>50.523272667577395</v>
      </c>
      <c r="D13" s="20" t="s">
        <v>721</v>
      </c>
      <c r="E13">
        <v>48.438216906128488</v>
      </c>
      <c r="G13" s="13"/>
      <c r="H13" s="14"/>
      <c r="I13" s="15"/>
    </row>
    <row r="14" spans="1:9" x14ac:dyDescent="0.25">
      <c r="A14" s="20" t="s">
        <v>32</v>
      </c>
      <c r="B14">
        <v>50.625440045183453</v>
      </c>
      <c r="D14" s="20" t="s">
        <v>722</v>
      </c>
      <c r="E14">
        <v>50.939434275138296</v>
      </c>
      <c r="G14" s="13"/>
      <c r="H14" s="14"/>
      <c r="I14" s="15"/>
    </row>
    <row r="15" spans="1:9" x14ac:dyDescent="0.25">
      <c r="A15" s="20" t="s">
        <v>713</v>
      </c>
      <c r="B15">
        <v>51.06408727766155</v>
      </c>
      <c r="D15" s="20" t="s">
        <v>723</v>
      </c>
      <c r="E15">
        <v>52.12614801728683</v>
      </c>
      <c r="G15" s="13"/>
      <c r="H15" s="14"/>
      <c r="I15" s="15"/>
    </row>
    <row r="16" spans="1:9" x14ac:dyDescent="0.25">
      <c r="D16" s="20" t="s">
        <v>724</v>
      </c>
      <c r="E16">
        <v>54.785822879238111</v>
      </c>
      <c r="G16" s="13"/>
      <c r="H16" s="14"/>
      <c r="I16" s="15"/>
    </row>
    <row r="17" spans="4:9" x14ac:dyDescent="0.25">
      <c r="D17" s="20" t="s">
        <v>713</v>
      </c>
      <c r="E17">
        <v>51.06408727766155</v>
      </c>
      <c r="G17" s="13"/>
      <c r="H17" s="14"/>
      <c r="I17" s="15"/>
    </row>
    <row r="18" spans="4:9" x14ac:dyDescent="0.25">
      <c r="G18" s="13"/>
      <c r="H18" s="14"/>
      <c r="I18" s="15"/>
    </row>
    <row r="19" spans="4:9" x14ac:dyDescent="0.25">
      <c r="G19" s="13"/>
      <c r="H19" s="14"/>
      <c r="I19" s="15"/>
    </row>
    <row r="20" spans="4:9" x14ac:dyDescent="0.25">
      <c r="G20" s="13"/>
      <c r="H20" s="14"/>
      <c r="I20" s="15"/>
    </row>
    <row r="21" spans="4:9" x14ac:dyDescent="0.25">
      <c r="G21" s="13"/>
      <c r="H21" s="14"/>
      <c r="I21" s="15"/>
    </row>
    <row r="22" spans="4:9" x14ac:dyDescent="0.25">
      <c r="G22" s="13"/>
      <c r="H22" s="14"/>
      <c r="I22" s="15"/>
    </row>
    <row r="23" spans="4:9" x14ac:dyDescent="0.25">
      <c r="G23" s="13"/>
      <c r="H23" s="14"/>
      <c r="I23" s="15"/>
    </row>
    <row r="24" spans="4:9" x14ac:dyDescent="0.25">
      <c r="G24" s="13"/>
      <c r="H24" s="14"/>
      <c r="I24" s="15"/>
    </row>
    <row r="25" spans="4:9" x14ac:dyDescent="0.25">
      <c r="G25" s="13"/>
      <c r="H25" s="14"/>
      <c r="I25" s="15"/>
    </row>
    <row r="26" spans="4:9" x14ac:dyDescent="0.25">
      <c r="G26" s="16"/>
      <c r="H26" s="17"/>
      <c r="I26" s="18"/>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322D6-4962-406C-B6C7-14FE9512EB29}">
  <dimension ref="A1:M601"/>
  <sheetViews>
    <sheetView tabSelected="1" topLeftCell="F1" workbookViewId="0">
      <selection activeCell="J6" sqref="J6"/>
    </sheetView>
  </sheetViews>
  <sheetFormatPr defaultRowHeight="15" x14ac:dyDescent="0.25"/>
  <cols>
    <col min="1" max="1" width="13" customWidth="1"/>
    <col min="2" max="2" width="9.7109375" customWidth="1"/>
    <col min="4" max="4" width="24.42578125" customWidth="1"/>
    <col min="5" max="5" width="18.42578125" customWidth="1"/>
    <col min="6" max="6" width="26" customWidth="1"/>
    <col min="7" max="7" width="22.28515625" customWidth="1"/>
    <col min="8" max="8" width="17.28515625" customWidth="1"/>
    <col min="9" max="9" width="17.85546875" customWidth="1"/>
    <col min="10" max="10" width="24.140625" customWidth="1"/>
    <col min="11" max="11" width="19" customWidth="1"/>
    <col min="12" max="13" width="28.140625" customWidth="1"/>
    <col min="15" max="15" width="11" customWidth="1"/>
  </cols>
  <sheetData>
    <row r="1" spans="1:13" x14ac:dyDescent="0.25">
      <c r="A1" t="s">
        <v>0</v>
      </c>
      <c r="B1" s="2" t="s">
        <v>1</v>
      </c>
      <c r="C1" t="s">
        <v>2</v>
      </c>
      <c r="D1" s="1" t="s">
        <v>3</v>
      </c>
      <c r="E1" s="1" t="s">
        <v>4</v>
      </c>
      <c r="F1" s="2" t="s">
        <v>5</v>
      </c>
      <c r="G1" s="2" t="s">
        <v>6</v>
      </c>
      <c r="H1" s="2" t="s">
        <v>7</v>
      </c>
      <c r="I1" s="1" t="s">
        <v>8</v>
      </c>
      <c r="J1" s="1" t="s">
        <v>9</v>
      </c>
      <c r="K1" s="1" t="s">
        <v>10</v>
      </c>
      <c r="L1" s="2" t="s">
        <v>11</v>
      </c>
      <c r="M1" s="2" t="s">
        <v>726</v>
      </c>
    </row>
    <row r="2" spans="1:13" x14ac:dyDescent="0.25">
      <c r="A2" t="s">
        <v>12</v>
      </c>
      <c r="B2" t="s">
        <v>13</v>
      </c>
      <c r="C2" s="2">
        <v>16</v>
      </c>
      <c r="D2">
        <v>13</v>
      </c>
      <c r="E2">
        <v>98.4</v>
      </c>
      <c r="F2" t="s">
        <v>14</v>
      </c>
      <c r="G2" t="s">
        <v>15</v>
      </c>
      <c r="H2" t="s">
        <v>16</v>
      </c>
      <c r="I2">
        <v>47</v>
      </c>
      <c r="J2">
        <v>4.2</v>
      </c>
      <c r="K2">
        <v>43.808719400132702</v>
      </c>
      <c r="L2" t="s">
        <v>16</v>
      </c>
      <c r="M2" t="str">
        <f>IF(Table2[[#This Row],[Final_Exam_Score]]&gt;= 50,"Pass","Fail")</f>
        <v>Fail</v>
      </c>
    </row>
    <row r="3" spans="1:13" x14ac:dyDescent="0.25">
      <c r="A3" t="s">
        <v>17</v>
      </c>
      <c r="B3" t="s">
        <v>18</v>
      </c>
      <c r="C3" s="2">
        <v>16</v>
      </c>
      <c r="D3">
        <v>6</v>
      </c>
      <c r="E3">
        <v>68.040000000000006</v>
      </c>
      <c r="F3" t="s">
        <v>19</v>
      </c>
      <c r="G3" t="s">
        <v>15</v>
      </c>
      <c r="H3" t="s">
        <v>16</v>
      </c>
      <c r="I3">
        <v>97</v>
      </c>
      <c r="J3">
        <v>6.4</v>
      </c>
      <c r="K3">
        <v>55.874396998137797</v>
      </c>
      <c r="L3" t="s">
        <v>16</v>
      </c>
      <c r="M3" t="str">
        <f>IF(Table2[[#This Row],[Final_Exam_Score]]&gt;= 50,"Pass","Fail")</f>
        <v>Pass</v>
      </c>
    </row>
    <row r="4" spans="1:13" x14ac:dyDescent="0.25">
      <c r="A4" t="s">
        <v>20</v>
      </c>
      <c r="B4" t="s">
        <v>13</v>
      </c>
      <c r="C4" s="2">
        <v>20</v>
      </c>
      <c r="D4">
        <v>9</v>
      </c>
      <c r="E4">
        <v>81.22</v>
      </c>
      <c r="F4" t="s">
        <v>14</v>
      </c>
      <c r="G4" t="s">
        <v>15</v>
      </c>
      <c r="H4" t="s">
        <v>16</v>
      </c>
      <c r="I4">
        <v>70</v>
      </c>
      <c r="J4">
        <v>8.4</v>
      </c>
      <c r="K4">
        <v>49.6030335332905</v>
      </c>
      <c r="L4" t="s">
        <v>16</v>
      </c>
      <c r="M4" t="str">
        <f>IF(Table2[[#This Row],[Final_Exam_Score]]&gt;= 50,"Pass","Fail")</f>
        <v>Fail</v>
      </c>
    </row>
    <row r="5" spans="1:13" x14ac:dyDescent="0.25">
      <c r="A5" t="s">
        <v>21</v>
      </c>
      <c r="B5" t="s">
        <v>13</v>
      </c>
      <c r="C5" s="2">
        <v>15</v>
      </c>
      <c r="D5">
        <v>20</v>
      </c>
      <c r="E5">
        <v>67.040000000000006</v>
      </c>
      <c r="F5" t="s">
        <v>22</v>
      </c>
      <c r="G5" t="s">
        <v>23</v>
      </c>
      <c r="H5" t="s">
        <v>16</v>
      </c>
      <c r="I5">
        <v>45</v>
      </c>
      <c r="J5">
        <v>8.1</v>
      </c>
      <c r="K5">
        <v>40</v>
      </c>
      <c r="L5" t="s">
        <v>24</v>
      </c>
      <c r="M5" t="str">
        <f>IF(Table2[[#This Row],[Final_Exam_Score]]&gt;= 50,"Pass","Fail")</f>
        <v>Fail</v>
      </c>
    </row>
    <row r="6" spans="1:13" x14ac:dyDescent="0.25">
      <c r="A6" t="s">
        <v>25</v>
      </c>
      <c r="B6" t="s">
        <v>13</v>
      </c>
      <c r="C6" s="2">
        <v>15</v>
      </c>
      <c r="D6">
        <v>14</v>
      </c>
      <c r="E6">
        <v>83.85</v>
      </c>
      <c r="F6" t="s">
        <v>14</v>
      </c>
      <c r="G6" t="s">
        <v>26</v>
      </c>
      <c r="H6" t="s">
        <v>24</v>
      </c>
      <c r="I6">
        <v>59</v>
      </c>
      <c r="J6">
        <v>7.6</v>
      </c>
      <c r="K6">
        <v>40</v>
      </c>
      <c r="L6" t="s">
        <v>16</v>
      </c>
      <c r="M6" t="str">
        <f>IF(Table2[[#This Row],[Final_Exam_Score]]&gt;= 50,"Pass","Fail")</f>
        <v>Fail</v>
      </c>
    </row>
    <row r="7" spans="1:13" x14ac:dyDescent="0.25">
      <c r="A7" t="s">
        <v>27</v>
      </c>
      <c r="B7" t="s">
        <v>13</v>
      </c>
      <c r="C7" s="2">
        <v>17</v>
      </c>
      <c r="D7">
        <v>29</v>
      </c>
      <c r="E7">
        <v>70.11</v>
      </c>
      <c r="F7" t="s">
        <v>28</v>
      </c>
      <c r="G7" t="s">
        <v>26</v>
      </c>
      <c r="H7" t="s">
        <v>24</v>
      </c>
      <c r="I7">
        <v>48</v>
      </c>
      <c r="J7">
        <v>8.3000000000000007</v>
      </c>
      <c r="K7">
        <v>41.703034638256298</v>
      </c>
      <c r="L7" t="s">
        <v>24</v>
      </c>
      <c r="M7" t="str">
        <f>IF(Table2[[#This Row],[Final_Exam_Score]]&gt;= 50,"Pass","Fail")</f>
        <v>Fail</v>
      </c>
    </row>
    <row r="8" spans="1:13" x14ac:dyDescent="0.25">
      <c r="A8" t="s">
        <v>29</v>
      </c>
      <c r="B8" t="s">
        <v>13</v>
      </c>
      <c r="C8" s="2">
        <v>18</v>
      </c>
      <c r="D8">
        <v>7</v>
      </c>
      <c r="E8">
        <v>87.19</v>
      </c>
      <c r="F8" t="s">
        <v>28</v>
      </c>
      <c r="G8" t="s">
        <v>26</v>
      </c>
      <c r="H8" t="s">
        <v>24</v>
      </c>
      <c r="I8">
        <v>56</v>
      </c>
      <c r="J8">
        <v>7.7</v>
      </c>
      <c r="K8">
        <v>44.503041423785596</v>
      </c>
      <c r="L8" t="s">
        <v>16</v>
      </c>
      <c r="M8" t="str">
        <f>IF(Table2[[#This Row],[Final_Exam_Score]]&gt;= 50,"Pass","Fail")</f>
        <v>Fail</v>
      </c>
    </row>
    <row r="9" spans="1:13" x14ac:dyDescent="0.25">
      <c r="A9" t="s">
        <v>30</v>
      </c>
      <c r="B9" t="s">
        <v>18</v>
      </c>
      <c r="C9" s="2">
        <v>17</v>
      </c>
      <c r="D9">
        <v>6</v>
      </c>
      <c r="E9">
        <v>74.25</v>
      </c>
      <c r="F9" t="s">
        <v>22</v>
      </c>
      <c r="G9" t="s">
        <v>23</v>
      </c>
      <c r="H9" t="s">
        <v>24</v>
      </c>
      <c r="I9">
        <v>66</v>
      </c>
      <c r="J9">
        <v>4.0999999999999996</v>
      </c>
      <c r="K9">
        <v>45.607991122316903</v>
      </c>
      <c r="L9" t="s">
        <v>24</v>
      </c>
      <c r="M9" t="str">
        <f>IF(Table2[[#This Row],[Final_Exam_Score]]&gt;= 50,"Pass","Fail")</f>
        <v>Fail</v>
      </c>
    </row>
    <row r="10" spans="1:13" x14ac:dyDescent="0.25">
      <c r="A10" t="s">
        <v>31</v>
      </c>
      <c r="B10" t="s">
        <v>18</v>
      </c>
      <c r="C10" s="2">
        <v>16</v>
      </c>
      <c r="D10">
        <v>8</v>
      </c>
      <c r="E10">
        <v>89.18</v>
      </c>
      <c r="F10" t="s">
        <v>32</v>
      </c>
      <c r="G10" t="s">
        <v>26</v>
      </c>
      <c r="H10" t="s">
        <v>24</v>
      </c>
      <c r="I10">
        <v>68</v>
      </c>
      <c r="J10">
        <v>6.4</v>
      </c>
      <c r="K10">
        <v>56.086276398989497</v>
      </c>
      <c r="L10" t="s">
        <v>24</v>
      </c>
      <c r="M10" t="str">
        <f>IF(Table2[[#This Row],[Final_Exam_Score]]&gt;= 50,"Pass","Fail")</f>
        <v>Pass</v>
      </c>
    </row>
    <row r="11" spans="1:13" x14ac:dyDescent="0.25">
      <c r="A11" t="s">
        <v>33</v>
      </c>
      <c r="B11" t="s">
        <v>13</v>
      </c>
      <c r="C11" s="2">
        <v>18</v>
      </c>
      <c r="D11">
        <v>5</v>
      </c>
      <c r="E11">
        <v>77.150000000000006</v>
      </c>
      <c r="F11" t="s">
        <v>28</v>
      </c>
      <c r="G11" t="s">
        <v>26</v>
      </c>
      <c r="H11" t="s">
        <v>16</v>
      </c>
      <c r="I11">
        <v>77</v>
      </c>
      <c r="J11">
        <v>4.0999999999999996</v>
      </c>
      <c r="K11">
        <v>45.233479599135997</v>
      </c>
      <c r="L11" t="s">
        <v>24</v>
      </c>
      <c r="M11" t="str">
        <f>IF(Table2[[#This Row],[Final_Exam_Score]]&gt;= 50,"Pass","Fail")</f>
        <v>Fail</v>
      </c>
    </row>
    <row r="12" spans="1:13" x14ac:dyDescent="0.25">
      <c r="A12" t="s">
        <v>34</v>
      </c>
      <c r="B12" t="s">
        <v>18</v>
      </c>
      <c r="C12" s="2">
        <v>17</v>
      </c>
      <c r="D12">
        <v>18</v>
      </c>
      <c r="E12">
        <v>65.150000000000006</v>
      </c>
      <c r="F12" t="s">
        <v>14</v>
      </c>
      <c r="G12" t="s">
        <v>15</v>
      </c>
      <c r="H12" t="s">
        <v>24</v>
      </c>
      <c r="I12">
        <v>61</v>
      </c>
      <c r="J12">
        <v>6.8</v>
      </c>
      <c r="K12">
        <v>40</v>
      </c>
      <c r="L12" t="s">
        <v>16</v>
      </c>
      <c r="M12" t="str">
        <f>IF(Table2[[#This Row],[Final_Exam_Score]]&gt;= 50,"Pass","Fail")</f>
        <v>Fail</v>
      </c>
    </row>
    <row r="13" spans="1:13" x14ac:dyDescent="0.25">
      <c r="A13" t="s">
        <v>35</v>
      </c>
      <c r="B13" t="s">
        <v>18</v>
      </c>
      <c r="C13" s="2">
        <v>17</v>
      </c>
      <c r="D13">
        <v>6</v>
      </c>
      <c r="E13">
        <v>75.319999999999993</v>
      </c>
      <c r="F13" t="s">
        <v>22</v>
      </c>
      <c r="G13" t="s">
        <v>23</v>
      </c>
      <c r="H13" t="s">
        <v>16</v>
      </c>
      <c r="I13">
        <v>67</v>
      </c>
      <c r="J13">
        <v>5.2</v>
      </c>
      <c r="K13">
        <v>40.939856723254202</v>
      </c>
      <c r="L13" t="s">
        <v>16</v>
      </c>
      <c r="M13" t="str">
        <f>IF(Table2[[#This Row],[Final_Exam_Score]]&gt;= 50,"Pass","Fail")</f>
        <v>Fail</v>
      </c>
    </row>
    <row r="14" spans="1:13" x14ac:dyDescent="0.25">
      <c r="A14" t="s">
        <v>36</v>
      </c>
      <c r="B14" t="s">
        <v>13</v>
      </c>
      <c r="C14" s="2">
        <v>16</v>
      </c>
      <c r="D14">
        <v>11</v>
      </c>
      <c r="E14">
        <v>67.87</v>
      </c>
      <c r="F14" t="s">
        <v>32</v>
      </c>
      <c r="G14" t="s">
        <v>15</v>
      </c>
      <c r="H14" t="s">
        <v>16</v>
      </c>
      <c r="I14">
        <v>71</v>
      </c>
      <c r="J14">
        <v>6.2</v>
      </c>
      <c r="K14">
        <v>43.161029432695301</v>
      </c>
      <c r="L14" t="s">
        <v>24</v>
      </c>
      <c r="M14" t="str">
        <f>IF(Table2[[#This Row],[Final_Exam_Score]]&gt;= 50,"Pass","Fail")</f>
        <v>Fail</v>
      </c>
    </row>
    <row r="15" spans="1:13" x14ac:dyDescent="0.25">
      <c r="A15" t="s">
        <v>37</v>
      </c>
      <c r="B15" t="s">
        <v>18</v>
      </c>
      <c r="C15" s="2">
        <v>16</v>
      </c>
      <c r="D15">
        <v>11</v>
      </c>
      <c r="E15">
        <v>82.33</v>
      </c>
      <c r="F15" t="s">
        <v>28</v>
      </c>
      <c r="G15" t="s">
        <v>26</v>
      </c>
      <c r="H15" t="s">
        <v>16</v>
      </c>
      <c r="I15">
        <v>73</v>
      </c>
      <c r="J15">
        <v>5</v>
      </c>
      <c r="K15">
        <v>44.941214596510498</v>
      </c>
      <c r="L15" t="s">
        <v>24</v>
      </c>
      <c r="M15" t="str">
        <f>IF(Table2[[#This Row],[Final_Exam_Score]]&gt;= 50,"Pass","Fail")</f>
        <v>Fail</v>
      </c>
    </row>
    <row r="16" spans="1:13" x14ac:dyDescent="0.25">
      <c r="A16" t="s">
        <v>38</v>
      </c>
      <c r="B16" t="s">
        <v>13</v>
      </c>
      <c r="C16" s="2">
        <v>17</v>
      </c>
      <c r="D16">
        <v>18</v>
      </c>
      <c r="E16">
        <v>75.11</v>
      </c>
      <c r="F16" t="s">
        <v>32</v>
      </c>
      <c r="G16" t="s">
        <v>23</v>
      </c>
      <c r="H16" t="s">
        <v>16</v>
      </c>
      <c r="I16">
        <v>59</v>
      </c>
      <c r="J16">
        <v>8.1</v>
      </c>
      <c r="K16">
        <v>40</v>
      </c>
      <c r="L16" t="s">
        <v>16</v>
      </c>
      <c r="M16" t="str">
        <f>IF(Table2[[#This Row],[Final_Exam_Score]]&gt;= 50,"Pass","Fail")</f>
        <v>Fail</v>
      </c>
    </row>
    <row r="17" spans="1:13" x14ac:dyDescent="0.25">
      <c r="A17" t="s">
        <v>39</v>
      </c>
      <c r="B17" t="s">
        <v>18</v>
      </c>
      <c r="C17" s="2">
        <v>19</v>
      </c>
      <c r="D17">
        <v>4</v>
      </c>
      <c r="E17">
        <v>87.4</v>
      </c>
      <c r="F17" t="s">
        <v>19</v>
      </c>
      <c r="G17" t="s">
        <v>23</v>
      </c>
      <c r="H17" t="s">
        <v>16</v>
      </c>
      <c r="I17">
        <v>85</v>
      </c>
      <c r="J17">
        <v>4.9000000000000004</v>
      </c>
      <c r="K17">
        <v>51.998142244279698</v>
      </c>
      <c r="L17" t="s">
        <v>16</v>
      </c>
      <c r="M17" t="str">
        <f>IF(Table2[[#This Row],[Final_Exam_Score]]&gt;= 50,"Pass","Fail")</f>
        <v>Pass</v>
      </c>
    </row>
    <row r="18" spans="1:13" x14ac:dyDescent="0.25">
      <c r="A18" t="s">
        <v>40</v>
      </c>
      <c r="B18" t="s">
        <v>13</v>
      </c>
      <c r="C18" s="2">
        <v>20</v>
      </c>
      <c r="D18">
        <v>9</v>
      </c>
      <c r="E18">
        <v>82.5</v>
      </c>
      <c r="F18" t="s">
        <v>19</v>
      </c>
      <c r="G18" t="s">
        <v>23</v>
      </c>
      <c r="H18" t="s">
        <v>16</v>
      </c>
      <c r="I18">
        <v>65</v>
      </c>
      <c r="J18">
        <v>5.6</v>
      </c>
      <c r="K18">
        <v>44.854442683560599</v>
      </c>
      <c r="L18" t="s">
        <v>16</v>
      </c>
      <c r="M18" t="str">
        <f>IF(Table2[[#This Row],[Final_Exam_Score]]&gt;= 50,"Pass","Fail")</f>
        <v>Fail</v>
      </c>
    </row>
    <row r="19" spans="1:13" x14ac:dyDescent="0.25">
      <c r="A19" t="s">
        <v>41</v>
      </c>
      <c r="B19" t="s">
        <v>18</v>
      </c>
      <c r="C19" s="2">
        <v>19</v>
      </c>
      <c r="D19">
        <v>24</v>
      </c>
      <c r="E19">
        <v>66.260000000000005</v>
      </c>
      <c r="F19" t="s">
        <v>19</v>
      </c>
      <c r="G19" t="s">
        <v>15</v>
      </c>
      <c r="H19" t="s">
        <v>16</v>
      </c>
      <c r="I19">
        <v>91</v>
      </c>
      <c r="J19">
        <v>4.0999999999999996</v>
      </c>
      <c r="K19">
        <v>51.660642436593399</v>
      </c>
      <c r="L19" t="s">
        <v>16</v>
      </c>
      <c r="M19" t="str">
        <f>IF(Table2[[#This Row],[Final_Exam_Score]]&gt;= 50,"Pass","Fail")</f>
        <v>Pass</v>
      </c>
    </row>
    <row r="20" spans="1:13" x14ac:dyDescent="0.25">
      <c r="A20" t="s">
        <v>42</v>
      </c>
      <c r="B20" t="s">
        <v>18</v>
      </c>
      <c r="C20" s="2">
        <v>17</v>
      </c>
      <c r="D20">
        <v>18</v>
      </c>
      <c r="E20">
        <v>76.150000000000006</v>
      </c>
      <c r="F20" t="s">
        <v>28</v>
      </c>
      <c r="G20" t="s">
        <v>15</v>
      </c>
      <c r="H20" t="s">
        <v>24</v>
      </c>
      <c r="I20">
        <v>88</v>
      </c>
      <c r="J20">
        <v>5.5</v>
      </c>
      <c r="K20">
        <v>50.1078202525688</v>
      </c>
      <c r="L20" t="s">
        <v>16</v>
      </c>
      <c r="M20" t="str">
        <f>IF(Table2[[#This Row],[Final_Exam_Score]]&gt;= 50,"Pass","Fail")</f>
        <v>Pass</v>
      </c>
    </row>
    <row r="21" spans="1:13" x14ac:dyDescent="0.25">
      <c r="A21" t="s">
        <v>43</v>
      </c>
      <c r="B21" t="s">
        <v>13</v>
      </c>
      <c r="C21" s="2">
        <v>21</v>
      </c>
      <c r="D21">
        <v>21</v>
      </c>
      <c r="E21">
        <v>82.12</v>
      </c>
      <c r="F21" t="s">
        <v>32</v>
      </c>
      <c r="G21" t="s">
        <v>23</v>
      </c>
      <c r="H21" t="s">
        <v>24</v>
      </c>
      <c r="I21">
        <v>69</v>
      </c>
      <c r="J21">
        <v>4.0999999999999996</v>
      </c>
      <c r="K21">
        <v>52.173815715651898</v>
      </c>
      <c r="L21" t="s">
        <v>24</v>
      </c>
      <c r="M21" t="str">
        <f>IF(Table2[[#This Row],[Final_Exam_Score]]&gt;= 50,"Pass","Fail")</f>
        <v>Pass</v>
      </c>
    </row>
    <row r="22" spans="1:13" x14ac:dyDescent="0.25">
      <c r="A22" t="s">
        <v>44</v>
      </c>
      <c r="B22" t="s">
        <v>13</v>
      </c>
      <c r="C22" s="2">
        <v>18</v>
      </c>
      <c r="D22">
        <v>8</v>
      </c>
      <c r="E22">
        <v>85.03</v>
      </c>
      <c r="F22" t="s">
        <v>28</v>
      </c>
      <c r="G22" t="s">
        <v>15</v>
      </c>
      <c r="H22" t="s">
        <v>24</v>
      </c>
      <c r="I22">
        <v>61</v>
      </c>
      <c r="J22">
        <v>6.2</v>
      </c>
      <c r="K22">
        <v>46.163934718039499</v>
      </c>
      <c r="L22" t="s">
        <v>16</v>
      </c>
      <c r="M22" t="str">
        <f>IF(Table2[[#This Row],[Final_Exam_Score]]&gt;= 50,"Pass","Fail")</f>
        <v>Fail</v>
      </c>
    </row>
    <row r="23" spans="1:13" x14ac:dyDescent="0.25">
      <c r="A23" t="s">
        <v>45</v>
      </c>
      <c r="B23" t="s">
        <v>13</v>
      </c>
      <c r="C23" s="2">
        <v>20</v>
      </c>
      <c r="D23">
        <v>22</v>
      </c>
      <c r="E23">
        <v>68.67</v>
      </c>
      <c r="F23" t="s">
        <v>32</v>
      </c>
      <c r="G23" t="s">
        <v>26</v>
      </c>
      <c r="H23" t="s">
        <v>16</v>
      </c>
      <c r="I23">
        <v>86</v>
      </c>
      <c r="J23">
        <v>4.0999999999999996</v>
      </c>
      <c r="K23">
        <v>50.6406918547789</v>
      </c>
      <c r="L23" t="s">
        <v>24</v>
      </c>
      <c r="M23" t="str">
        <f>IF(Table2[[#This Row],[Final_Exam_Score]]&gt;= 50,"Pass","Fail")</f>
        <v>Pass</v>
      </c>
    </row>
    <row r="24" spans="1:13" x14ac:dyDescent="0.25">
      <c r="A24" t="s">
        <v>46</v>
      </c>
      <c r="B24" t="s">
        <v>18</v>
      </c>
      <c r="C24" s="2">
        <v>19</v>
      </c>
      <c r="D24">
        <v>3</v>
      </c>
      <c r="E24">
        <v>87.75</v>
      </c>
      <c r="F24" t="s">
        <v>14</v>
      </c>
      <c r="G24" t="s">
        <v>23</v>
      </c>
      <c r="H24" t="s">
        <v>16</v>
      </c>
      <c r="I24">
        <v>57</v>
      </c>
      <c r="J24">
        <v>5.9</v>
      </c>
      <c r="K24">
        <v>40.389974195530797</v>
      </c>
      <c r="L24" t="s">
        <v>16</v>
      </c>
      <c r="M24" t="str">
        <f>IF(Table2[[#This Row],[Final_Exam_Score]]&gt;= 50,"Pass","Fail")</f>
        <v>Fail</v>
      </c>
    </row>
    <row r="25" spans="1:13" x14ac:dyDescent="0.25">
      <c r="A25" t="s">
        <v>47</v>
      </c>
      <c r="B25" t="s">
        <v>18</v>
      </c>
      <c r="C25" s="2">
        <v>21</v>
      </c>
      <c r="D25">
        <v>7</v>
      </c>
      <c r="E25">
        <v>77.03</v>
      </c>
      <c r="F25" t="s">
        <v>14</v>
      </c>
      <c r="G25" t="s">
        <v>26</v>
      </c>
      <c r="H25" t="s">
        <v>24</v>
      </c>
      <c r="I25">
        <v>87</v>
      </c>
      <c r="J25">
        <v>7</v>
      </c>
      <c r="K25">
        <v>54.7891142970714</v>
      </c>
      <c r="L25" t="s">
        <v>16</v>
      </c>
      <c r="M25" t="str">
        <f>IF(Table2[[#This Row],[Final_Exam_Score]]&gt;= 50,"Pass","Fail")</f>
        <v>Pass</v>
      </c>
    </row>
    <row r="26" spans="1:13" x14ac:dyDescent="0.25">
      <c r="A26" t="s">
        <v>48</v>
      </c>
      <c r="B26" t="s">
        <v>18</v>
      </c>
      <c r="C26" s="2">
        <v>15</v>
      </c>
      <c r="D26">
        <v>21</v>
      </c>
      <c r="E26">
        <v>71.400000000000006</v>
      </c>
      <c r="F26" t="s">
        <v>28</v>
      </c>
      <c r="G26" t="s">
        <v>26</v>
      </c>
      <c r="H26" t="s">
        <v>24</v>
      </c>
      <c r="I26">
        <v>52</v>
      </c>
      <c r="J26">
        <v>8.6</v>
      </c>
      <c r="K26">
        <v>42.033808474544301</v>
      </c>
      <c r="L26" t="s">
        <v>16</v>
      </c>
      <c r="M26" t="str">
        <f>IF(Table2[[#This Row],[Final_Exam_Score]]&gt;= 50,"Pass","Fail")</f>
        <v>Fail</v>
      </c>
    </row>
    <row r="27" spans="1:13" x14ac:dyDescent="0.25">
      <c r="A27" t="s">
        <v>49</v>
      </c>
      <c r="B27" t="s">
        <v>13</v>
      </c>
      <c r="C27" s="2">
        <v>17</v>
      </c>
      <c r="D27">
        <v>17</v>
      </c>
      <c r="E27">
        <v>93.19</v>
      </c>
      <c r="F27" t="s">
        <v>32</v>
      </c>
      <c r="G27" t="s">
        <v>15</v>
      </c>
      <c r="H27" t="s">
        <v>24</v>
      </c>
      <c r="I27">
        <v>90</v>
      </c>
      <c r="J27">
        <v>6.8</v>
      </c>
      <c r="K27">
        <v>67.550906102645698</v>
      </c>
      <c r="L27" t="s">
        <v>24</v>
      </c>
      <c r="M27" t="str">
        <f>IF(Table2[[#This Row],[Final_Exam_Score]]&gt;= 50,"Pass","Fail")</f>
        <v>Pass</v>
      </c>
    </row>
    <row r="28" spans="1:13" x14ac:dyDescent="0.25">
      <c r="A28" t="s">
        <v>50</v>
      </c>
      <c r="B28" t="s">
        <v>18</v>
      </c>
      <c r="C28" s="2">
        <v>21</v>
      </c>
      <c r="D28">
        <v>26</v>
      </c>
      <c r="E28">
        <v>67.400000000000006</v>
      </c>
      <c r="F28" t="s">
        <v>14</v>
      </c>
      <c r="G28" t="s">
        <v>23</v>
      </c>
      <c r="H28" t="s">
        <v>24</v>
      </c>
      <c r="I28">
        <v>84</v>
      </c>
      <c r="J28">
        <v>6.6</v>
      </c>
      <c r="K28">
        <v>48.169012841810002</v>
      </c>
      <c r="L28" t="s">
        <v>16</v>
      </c>
      <c r="M28" t="str">
        <f>IF(Table2[[#This Row],[Final_Exam_Score]]&gt;= 50,"Pass","Fail")</f>
        <v>Fail</v>
      </c>
    </row>
    <row r="29" spans="1:13" x14ac:dyDescent="0.25">
      <c r="A29" t="s">
        <v>51</v>
      </c>
      <c r="B29" t="s">
        <v>13</v>
      </c>
      <c r="C29" s="2">
        <v>15</v>
      </c>
      <c r="D29">
        <v>11</v>
      </c>
      <c r="E29">
        <v>97.54</v>
      </c>
      <c r="F29" t="s">
        <v>32</v>
      </c>
      <c r="G29" t="s">
        <v>26</v>
      </c>
      <c r="H29" t="s">
        <v>16</v>
      </c>
      <c r="I29">
        <v>95</v>
      </c>
      <c r="J29">
        <v>4.2</v>
      </c>
      <c r="K29">
        <v>53.0241541220431</v>
      </c>
      <c r="L29" t="s">
        <v>16</v>
      </c>
      <c r="M29" t="str">
        <f>IF(Table2[[#This Row],[Final_Exam_Score]]&gt;= 50,"Pass","Fail")</f>
        <v>Pass</v>
      </c>
    </row>
    <row r="30" spans="1:13" x14ac:dyDescent="0.25">
      <c r="A30" t="s">
        <v>52</v>
      </c>
      <c r="B30" t="s">
        <v>13</v>
      </c>
      <c r="C30" s="2">
        <v>17</v>
      </c>
      <c r="D30">
        <v>29</v>
      </c>
      <c r="E30">
        <v>89.72</v>
      </c>
      <c r="F30" t="s">
        <v>14</v>
      </c>
      <c r="G30" t="s">
        <v>15</v>
      </c>
      <c r="H30" t="s">
        <v>16</v>
      </c>
      <c r="I30">
        <v>79</v>
      </c>
      <c r="J30">
        <v>5.9</v>
      </c>
      <c r="K30">
        <v>61.858145388782198</v>
      </c>
      <c r="L30" t="s">
        <v>24</v>
      </c>
      <c r="M30" t="str">
        <f>IF(Table2[[#This Row],[Final_Exam_Score]]&gt;= 50,"Pass","Fail")</f>
        <v>Pass</v>
      </c>
    </row>
    <row r="31" spans="1:13" x14ac:dyDescent="0.25">
      <c r="A31" t="s">
        <v>53</v>
      </c>
      <c r="B31" t="s">
        <v>13</v>
      </c>
      <c r="C31" s="2">
        <v>19</v>
      </c>
      <c r="D31">
        <v>18</v>
      </c>
      <c r="E31">
        <v>81.650000000000006</v>
      </c>
      <c r="F31" t="s">
        <v>32</v>
      </c>
      <c r="G31" t="s">
        <v>23</v>
      </c>
      <c r="H31" t="s">
        <v>24</v>
      </c>
      <c r="I31">
        <v>95</v>
      </c>
      <c r="J31">
        <v>6</v>
      </c>
      <c r="K31">
        <v>61.480591339333799</v>
      </c>
      <c r="L31" t="s">
        <v>16</v>
      </c>
      <c r="M31" t="str">
        <f>IF(Table2[[#This Row],[Final_Exam_Score]]&gt;= 50,"Pass","Fail")</f>
        <v>Pass</v>
      </c>
    </row>
    <row r="32" spans="1:13" x14ac:dyDescent="0.25">
      <c r="A32" t="s">
        <v>54</v>
      </c>
      <c r="B32" t="s">
        <v>13</v>
      </c>
      <c r="C32" s="2">
        <v>18</v>
      </c>
      <c r="D32">
        <v>10</v>
      </c>
      <c r="E32">
        <v>65.39</v>
      </c>
      <c r="F32" t="s">
        <v>28</v>
      </c>
      <c r="G32" t="s">
        <v>15</v>
      </c>
      <c r="H32" t="s">
        <v>24</v>
      </c>
      <c r="I32">
        <v>71</v>
      </c>
      <c r="J32">
        <v>5.6</v>
      </c>
      <c r="K32">
        <v>41.737780084783097</v>
      </c>
      <c r="L32" t="s">
        <v>24</v>
      </c>
      <c r="M32" t="str">
        <f>IF(Table2[[#This Row],[Final_Exam_Score]]&gt;= 50,"Pass","Fail")</f>
        <v>Fail</v>
      </c>
    </row>
    <row r="33" spans="1:13" x14ac:dyDescent="0.25">
      <c r="A33" t="s">
        <v>55</v>
      </c>
      <c r="B33" t="s">
        <v>18</v>
      </c>
      <c r="C33" s="2">
        <v>18</v>
      </c>
      <c r="D33">
        <v>12</v>
      </c>
      <c r="E33">
        <v>78.650000000000006</v>
      </c>
      <c r="F33" t="s">
        <v>28</v>
      </c>
      <c r="G33" t="s">
        <v>26</v>
      </c>
      <c r="H33" t="s">
        <v>16</v>
      </c>
      <c r="I33">
        <v>70</v>
      </c>
      <c r="J33">
        <v>8.4</v>
      </c>
      <c r="K33">
        <v>52.766293810651497</v>
      </c>
      <c r="L33" t="s">
        <v>24</v>
      </c>
      <c r="M33" t="str">
        <f>IF(Table2[[#This Row],[Final_Exam_Score]]&gt;= 50,"Pass","Fail")</f>
        <v>Pass</v>
      </c>
    </row>
    <row r="34" spans="1:13" x14ac:dyDescent="0.25">
      <c r="A34" t="s">
        <v>56</v>
      </c>
      <c r="B34" t="s">
        <v>18</v>
      </c>
      <c r="C34" s="2">
        <v>15</v>
      </c>
      <c r="D34">
        <v>27</v>
      </c>
      <c r="E34">
        <v>87.6</v>
      </c>
      <c r="F34" t="s">
        <v>22</v>
      </c>
      <c r="G34" t="s">
        <v>26</v>
      </c>
      <c r="H34" t="s">
        <v>24</v>
      </c>
      <c r="I34">
        <v>90</v>
      </c>
      <c r="J34">
        <v>6</v>
      </c>
      <c r="K34">
        <v>58.395107515697397</v>
      </c>
      <c r="L34" t="s">
        <v>16</v>
      </c>
      <c r="M34" t="str">
        <f>IF(Table2[[#This Row],[Final_Exam_Score]]&gt;= 50,"Pass","Fail")</f>
        <v>Pass</v>
      </c>
    </row>
    <row r="35" spans="1:13" x14ac:dyDescent="0.25">
      <c r="A35" t="s">
        <v>57</v>
      </c>
      <c r="B35" t="s">
        <v>18</v>
      </c>
      <c r="C35" s="2">
        <v>20</v>
      </c>
      <c r="D35">
        <v>25</v>
      </c>
      <c r="E35">
        <v>95.06</v>
      </c>
      <c r="F35" t="s">
        <v>14</v>
      </c>
      <c r="G35" t="s">
        <v>23</v>
      </c>
      <c r="H35" t="s">
        <v>24</v>
      </c>
      <c r="I35">
        <v>95</v>
      </c>
      <c r="J35">
        <v>5.0999999999999996</v>
      </c>
      <c r="K35">
        <v>67.071392074618899</v>
      </c>
      <c r="L35" t="s">
        <v>24</v>
      </c>
      <c r="M35" t="str">
        <f>IF(Table2[[#This Row],[Final_Exam_Score]]&gt;= 50,"Pass","Fail")</f>
        <v>Pass</v>
      </c>
    </row>
    <row r="36" spans="1:13" x14ac:dyDescent="0.25">
      <c r="A36" t="s">
        <v>58</v>
      </c>
      <c r="B36" t="s">
        <v>13</v>
      </c>
      <c r="C36" s="2">
        <v>21</v>
      </c>
      <c r="D36">
        <v>17</v>
      </c>
      <c r="E36">
        <v>86.62</v>
      </c>
      <c r="F36" t="s">
        <v>19</v>
      </c>
      <c r="G36" t="s">
        <v>26</v>
      </c>
      <c r="H36" t="s">
        <v>16</v>
      </c>
      <c r="I36">
        <v>48</v>
      </c>
      <c r="J36">
        <v>7.9</v>
      </c>
      <c r="K36">
        <v>40.726789016237802</v>
      </c>
      <c r="L36" t="s">
        <v>24</v>
      </c>
      <c r="M36" t="str">
        <f>IF(Table2[[#This Row],[Final_Exam_Score]]&gt;= 50,"Pass","Fail")</f>
        <v>Fail</v>
      </c>
    </row>
    <row r="37" spans="1:13" x14ac:dyDescent="0.25">
      <c r="A37" t="s">
        <v>59</v>
      </c>
      <c r="B37" t="s">
        <v>13</v>
      </c>
      <c r="C37" s="2">
        <v>20</v>
      </c>
      <c r="D37">
        <v>15</v>
      </c>
      <c r="E37">
        <v>78.92</v>
      </c>
      <c r="F37" t="s">
        <v>22</v>
      </c>
      <c r="G37" t="s">
        <v>26</v>
      </c>
      <c r="H37" t="s">
        <v>16</v>
      </c>
      <c r="I37">
        <v>88</v>
      </c>
      <c r="J37">
        <v>8.1</v>
      </c>
      <c r="K37">
        <v>51.608843186379602</v>
      </c>
      <c r="L37" t="s">
        <v>24</v>
      </c>
      <c r="M37" t="str">
        <f>IF(Table2[[#This Row],[Final_Exam_Score]]&gt;= 50,"Pass","Fail")</f>
        <v>Pass</v>
      </c>
    </row>
    <row r="38" spans="1:13" x14ac:dyDescent="0.25">
      <c r="A38" t="s">
        <v>60</v>
      </c>
      <c r="B38" t="s">
        <v>18</v>
      </c>
      <c r="C38" s="2">
        <v>15</v>
      </c>
      <c r="D38">
        <v>13</v>
      </c>
      <c r="E38">
        <v>80.66</v>
      </c>
      <c r="F38" t="s">
        <v>19</v>
      </c>
      <c r="G38" t="s">
        <v>26</v>
      </c>
      <c r="H38" t="s">
        <v>24</v>
      </c>
      <c r="I38">
        <v>73</v>
      </c>
      <c r="J38">
        <v>5.7</v>
      </c>
      <c r="K38">
        <v>47.112550162576099</v>
      </c>
      <c r="L38" t="s">
        <v>24</v>
      </c>
      <c r="M38" t="str">
        <f>IF(Table2[[#This Row],[Final_Exam_Score]]&gt;= 50,"Pass","Fail")</f>
        <v>Fail</v>
      </c>
    </row>
    <row r="39" spans="1:13" x14ac:dyDescent="0.25">
      <c r="A39" t="s">
        <v>61</v>
      </c>
      <c r="B39" t="s">
        <v>13</v>
      </c>
      <c r="C39" s="2">
        <v>21</v>
      </c>
      <c r="D39">
        <v>4</v>
      </c>
      <c r="E39">
        <v>95.57</v>
      </c>
      <c r="F39" t="s">
        <v>14</v>
      </c>
      <c r="G39" t="s">
        <v>23</v>
      </c>
      <c r="H39" t="s">
        <v>24</v>
      </c>
      <c r="I39">
        <v>85</v>
      </c>
      <c r="J39">
        <v>8.1</v>
      </c>
      <c r="K39">
        <v>60.171625424630797</v>
      </c>
      <c r="L39" t="s">
        <v>24</v>
      </c>
      <c r="M39" t="str">
        <f>IF(Table2[[#This Row],[Final_Exam_Score]]&gt;= 50,"Pass","Fail")</f>
        <v>Pass</v>
      </c>
    </row>
    <row r="40" spans="1:13" x14ac:dyDescent="0.25">
      <c r="A40" t="s">
        <v>62</v>
      </c>
      <c r="B40" t="s">
        <v>13</v>
      </c>
      <c r="C40" s="2">
        <v>17</v>
      </c>
      <c r="D40">
        <v>22</v>
      </c>
      <c r="E40">
        <v>77.3</v>
      </c>
      <c r="F40" t="s">
        <v>28</v>
      </c>
      <c r="G40" t="s">
        <v>26</v>
      </c>
      <c r="H40" t="s">
        <v>24</v>
      </c>
      <c r="I40">
        <v>99</v>
      </c>
      <c r="J40">
        <v>7.5</v>
      </c>
      <c r="K40">
        <v>59.728766948688197</v>
      </c>
      <c r="L40" t="s">
        <v>24</v>
      </c>
      <c r="M40" t="str">
        <f>IF(Table2[[#This Row],[Final_Exam_Score]]&gt;= 50,"Pass","Fail")</f>
        <v>Pass</v>
      </c>
    </row>
    <row r="41" spans="1:13" x14ac:dyDescent="0.25">
      <c r="A41" t="s">
        <v>63</v>
      </c>
      <c r="B41" t="s">
        <v>18</v>
      </c>
      <c r="C41" s="2">
        <v>15</v>
      </c>
      <c r="D41">
        <v>12</v>
      </c>
      <c r="E41">
        <v>67.28</v>
      </c>
      <c r="F41" t="s">
        <v>19</v>
      </c>
      <c r="G41" t="s">
        <v>26</v>
      </c>
      <c r="H41" t="s">
        <v>24</v>
      </c>
      <c r="I41">
        <v>46</v>
      </c>
      <c r="J41">
        <v>4.5999999999999996</v>
      </c>
      <c r="K41">
        <v>42.997287021951401</v>
      </c>
      <c r="L41" t="s">
        <v>24</v>
      </c>
      <c r="M41" t="str">
        <f>IF(Table2[[#This Row],[Final_Exam_Score]]&gt;= 50,"Pass","Fail")</f>
        <v>Fail</v>
      </c>
    </row>
    <row r="42" spans="1:13" x14ac:dyDescent="0.25">
      <c r="A42" t="s">
        <v>64</v>
      </c>
      <c r="B42" t="s">
        <v>13</v>
      </c>
      <c r="C42" s="2">
        <v>15</v>
      </c>
      <c r="D42">
        <v>16</v>
      </c>
      <c r="E42">
        <v>80.489999999999995</v>
      </c>
      <c r="F42" t="s">
        <v>28</v>
      </c>
      <c r="G42" t="s">
        <v>15</v>
      </c>
      <c r="H42" t="s">
        <v>24</v>
      </c>
      <c r="I42">
        <v>93</v>
      </c>
      <c r="J42">
        <v>5.8</v>
      </c>
      <c r="K42">
        <v>58.875143384197202</v>
      </c>
      <c r="L42" t="s">
        <v>16</v>
      </c>
      <c r="M42" t="str">
        <f>IF(Table2[[#This Row],[Final_Exam_Score]]&gt;= 50,"Pass","Fail")</f>
        <v>Pass</v>
      </c>
    </row>
    <row r="43" spans="1:13" x14ac:dyDescent="0.25">
      <c r="A43" t="s">
        <v>65</v>
      </c>
      <c r="B43" t="s">
        <v>18</v>
      </c>
      <c r="C43" s="2">
        <v>21</v>
      </c>
      <c r="D43">
        <v>15</v>
      </c>
      <c r="E43">
        <v>99.95</v>
      </c>
      <c r="F43" t="s">
        <v>22</v>
      </c>
      <c r="G43" t="s">
        <v>15</v>
      </c>
      <c r="H43" t="s">
        <v>16</v>
      </c>
      <c r="I43">
        <v>86</v>
      </c>
      <c r="J43">
        <v>8.3000000000000007</v>
      </c>
      <c r="K43">
        <v>57.622026416688101</v>
      </c>
      <c r="L43" t="s">
        <v>16</v>
      </c>
      <c r="M43" t="str">
        <f>IF(Table2[[#This Row],[Final_Exam_Score]]&gt;= 50,"Pass","Fail")</f>
        <v>Pass</v>
      </c>
    </row>
    <row r="44" spans="1:13" x14ac:dyDescent="0.25">
      <c r="A44" t="s">
        <v>66</v>
      </c>
      <c r="B44" t="s">
        <v>13</v>
      </c>
      <c r="C44" s="2">
        <v>19</v>
      </c>
      <c r="D44">
        <v>18</v>
      </c>
      <c r="E44">
        <v>78.290000000000006</v>
      </c>
      <c r="F44" t="s">
        <v>22</v>
      </c>
      <c r="G44" t="s">
        <v>26</v>
      </c>
      <c r="H44" t="s">
        <v>24</v>
      </c>
      <c r="I44">
        <v>54</v>
      </c>
      <c r="J44">
        <v>5.9</v>
      </c>
      <c r="K44">
        <v>40</v>
      </c>
      <c r="L44" t="s">
        <v>16</v>
      </c>
      <c r="M44" t="str">
        <f>IF(Table2[[#This Row],[Final_Exam_Score]]&gt;= 50,"Pass","Fail")</f>
        <v>Fail</v>
      </c>
    </row>
    <row r="45" spans="1:13" x14ac:dyDescent="0.25">
      <c r="A45" t="s">
        <v>67</v>
      </c>
      <c r="B45" t="s">
        <v>18</v>
      </c>
      <c r="C45" s="2">
        <v>20</v>
      </c>
      <c r="D45">
        <v>26</v>
      </c>
      <c r="E45">
        <v>71.760000000000005</v>
      </c>
      <c r="F45" t="s">
        <v>28</v>
      </c>
      <c r="G45" t="s">
        <v>26</v>
      </c>
      <c r="H45" t="s">
        <v>24</v>
      </c>
      <c r="I45">
        <v>45</v>
      </c>
      <c r="J45">
        <v>8.3000000000000007</v>
      </c>
      <c r="K45">
        <v>43.534506308987197</v>
      </c>
      <c r="L45" t="s">
        <v>16</v>
      </c>
      <c r="M45" t="str">
        <f>IF(Table2[[#This Row],[Final_Exam_Score]]&gt;= 50,"Pass","Fail")</f>
        <v>Fail</v>
      </c>
    </row>
    <row r="46" spans="1:13" x14ac:dyDescent="0.25">
      <c r="A46" t="s">
        <v>68</v>
      </c>
      <c r="B46" t="s">
        <v>18</v>
      </c>
      <c r="C46" s="2">
        <v>18</v>
      </c>
      <c r="D46">
        <v>5</v>
      </c>
      <c r="E46">
        <v>66.58</v>
      </c>
      <c r="F46" t="s">
        <v>32</v>
      </c>
      <c r="G46" t="s">
        <v>15</v>
      </c>
      <c r="H46" t="s">
        <v>16</v>
      </c>
      <c r="I46">
        <v>72</v>
      </c>
      <c r="J46">
        <v>6.2</v>
      </c>
      <c r="K46">
        <v>44.6467180134253</v>
      </c>
      <c r="L46" t="s">
        <v>24</v>
      </c>
      <c r="M46" t="str">
        <f>IF(Table2[[#This Row],[Final_Exam_Score]]&gt;= 50,"Pass","Fail")</f>
        <v>Fail</v>
      </c>
    </row>
    <row r="47" spans="1:13" x14ac:dyDescent="0.25">
      <c r="A47" t="s">
        <v>69</v>
      </c>
      <c r="B47" t="s">
        <v>18</v>
      </c>
      <c r="C47" s="2">
        <v>17</v>
      </c>
      <c r="D47">
        <v>4</v>
      </c>
      <c r="E47">
        <v>70.98</v>
      </c>
      <c r="F47" t="s">
        <v>14</v>
      </c>
      <c r="G47" t="s">
        <v>23</v>
      </c>
      <c r="H47" t="s">
        <v>24</v>
      </c>
      <c r="I47">
        <v>74</v>
      </c>
      <c r="J47">
        <v>6.8</v>
      </c>
      <c r="K47">
        <v>44.604624751519097</v>
      </c>
      <c r="L47" t="s">
        <v>16</v>
      </c>
      <c r="M47" t="str">
        <f>IF(Table2[[#This Row],[Final_Exam_Score]]&gt;= 50,"Pass","Fail")</f>
        <v>Fail</v>
      </c>
    </row>
    <row r="48" spans="1:13" x14ac:dyDescent="0.25">
      <c r="A48" t="s">
        <v>70</v>
      </c>
      <c r="B48" t="s">
        <v>13</v>
      </c>
      <c r="C48" s="2">
        <v>19</v>
      </c>
      <c r="D48">
        <v>5</v>
      </c>
      <c r="E48">
        <v>76.34</v>
      </c>
      <c r="F48" t="s">
        <v>32</v>
      </c>
      <c r="G48" t="s">
        <v>15</v>
      </c>
      <c r="H48" t="s">
        <v>16</v>
      </c>
      <c r="I48">
        <v>92</v>
      </c>
      <c r="J48">
        <v>5.9</v>
      </c>
      <c r="K48">
        <v>54.0675390507568</v>
      </c>
      <c r="L48" t="s">
        <v>24</v>
      </c>
      <c r="M48" t="str">
        <f>IF(Table2[[#This Row],[Final_Exam_Score]]&gt;= 50,"Pass","Fail")</f>
        <v>Pass</v>
      </c>
    </row>
    <row r="49" spans="1:13" x14ac:dyDescent="0.25">
      <c r="A49" t="s">
        <v>71</v>
      </c>
      <c r="B49" t="s">
        <v>13</v>
      </c>
      <c r="C49" s="2">
        <v>18</v>
      </c>
      <c r="D49">
        <v>8</v>
      </c>
      <c r="E49">
        <v>85.1</v>
      </c>
      <c r="F49" t="s">
        <v>22</v>
      </c>
      <c r="G49" t="s">
        <v>26</v>
      </c>
      <c r="H49" t="s">
        <v>24</v>
      </c>
      <c r="I49">
        <v>60</v>
      </c>
      <c r="J49">
        <v>7.1</v>
      </c>
      <c r="K49">
        <v>42.812830286034199</v>
      </c>
      <c r="L49" t="s">
        <v>24</v>
      </c>
      <c r="M49" t="str">
        <f>IF(Table2[[#This Row],[Final_Exam_Score]]&gt;= 50,"Pass","Fail")</f>
        <v>Fail</v>
      </c>
    </row>
    <row r="50" spans="1:13" x14ac:dyDescent="0.25">
      <c r="A50" t="s">
        <v>72</v>
      </c>
      <c r="B50" t="s">
        <v>13</v>
      </c>
      <c r="C50" s="2">
        <v>18</v>
      </c>
      <c r="D50">
        <v>20</v>
      </c>
      <c r="E50">
        <v>88.3</v>
      </c>
      <c r="F50" t="s">
        <v>14</v>
      </c>
      <c r="G50" t="s">
        <v>23</v>
      </c>
      <c r="H50" t="s">
        <v>16</v>
      </c>
      <c r="I50">
        <v>58</v>
      </c>
      <c r="J50">
        <v>6.6</v>
      </c>
      <c r="K50">
        <v>40.876930555913198</v>
      </c>
      <c r="L50" t="s">
        <v>16</v>
      </c>
      <c r="M50" t="str">
        <f>IF(Table2[[#This Row],[Final_Exam_Score]]&gt;= 50,"Pass","Fail")</f>
        <v>Fail</v>
      </c>
    </row>
    <row r="51" spans="1:13" x14ac:dyDescent="0.25">
      <c r="A51" t="s">
        <v>73</v>
      </c>
      <c r="B51" t="s">
        <v>13</v>
      </c>
      <c r="C51" s="2">
        <v>16</v>
      </c>
      <c r="D51">
        <v>16</v>
      </c>
      <c r="E51">
        <v>66.5</v>
      </c>
      <c r="F51" t="s">
        <v>32</v>
      </c>
      <c r="G51" t="s">
        <v>23</v>
      </c>
      <c r="H51" t="s">
        <v>16</v>
      </c>
      <c r="I51">
        <v>95</v>
      </c>
      <c r="J51">
        <v>8.1999999999999993</v>
      </c>
      <c r="K51">
        <v>59.372458948465102</v>
      </c>
      <c r="L51" t="s">
        <v>16</v>
      </c>
      <c r="M51" t="str">
        <f>IF(Table2[[#This Row],[Final_Exam_Score]]&gt;= 50,"Pass","Fail")</f>
        <v>Pass</v>
      </c>
    </row>
    <row r="52" spans="1:13" x14ac:dyDescent="0.25">
      <c r="A52" t="s">
        <v>74</v>
      </c>
      <c r="B52" t="s">
        <v>18</v>
      </c>
      <c r="C52" s="2">
        <v>16</v>
      </c>
      <c r="D52">
        <v>29</v>
      </c>
      <c r="E52">
        <v>97.77</v>
      </c>
      <c r="F52" t="s">
        <v>19</v>
      </c>
      <c r="G52" t="s">
        <v>15</v>
      </c>
      <c r="H52" t="s">
        <v>24</v>
      </c>
      <c r="I52">
        <v>59</v>
      </c>
      <c r="J52">
        <v>8.8000000000000007</v>
      </c>
      <c r="K52">
        <v>61.139745803358899</v>
      </c>
      <c r="L52" t="s">
        <v>24</v>
      </c>
      <c r="M52" t="str">
        <f>IF(Table2[[#This Row],[Final_Exam_Score]]&gt;= 50,"Pass","Fail")</f>
        <v>Pass</v>
      </c>
    </row>
    <row r="53" spans="1:13" x14ac:dyDescent="0.25">
      <c r="A53" t="s">
        <v>75</v>
      </c>
      <c r="B53" t="s">
        <v>18</v>
      </c>
      <c r="C53" s="2">
        <v>15</v>
      </c>
      <c r="D53">
        <v>10</v>
      </c>
      <c r="E53">
        <v>73.25</v>
      </c>
      <c r="F53" t="s">
        <v>32</v>
      </c>
      <c r="G53" t="s">
        <v>26</v>
      </c>
      <c r="H53" t="s">
        <v>24</v>
      </c>
      <c r="I53">
        <v>68</v>
      </c>
      <c r="J53">
        <v>5.4</v>
      </c>
      <c r="K53">
        <v>53.3401328334661</v>
      </c>
      <c r="L53" t="s">
        <v>16</v>
      </c>
      <c r="M53" t="str">
        <f>IF(Table2[[#This Row],[Final_Exam_Score]]&gt;= 50,"Pass","Fail")</f>
        <v>Pass</v>
      </c>
    </row>
    <row r="54" spans="1:13" x14ac:dyDescent="0.25">
      <c r="A54" t="s">
        <v>76</v>
      </c>
      <c r="B54" t="s">
        <v>13</v>
      </c>
      <c r="C54" s="2">
        <v>15</v>
      </c>
      <c r="D54">
        <v>23</v>
      </c>
      <c r="E54">
        <v>70.22</v>
      </c>
      <c r="F54" t="s">
        <v>28</v>
      </c>
      <c r="G54" t="s">
        <v>23</v>
      </c>
      <c r="H54" t="s">
        <v>16</v>
      </c>
      <c r="I54">
        <v>73</v>
      </c>
      <c r="J54">
        <v>4.8</v>
      </c>
      <c r="K54">
        <v>50.671691343537702</v>
      </c>
      <c r="L54" t="s">
        <v>24</v>
      </c>
      <c r="M54" t="str">
        <f>IF(Table2[[#This Row],[Final_Exam_Score]]&gt;= 50,"Pass","Fail")</f>
        <v>Pass</v>
      </c>
    </row>
    <row r="55" spans="1:13" x14ac:dyDescent="0.25">
      <c r="A55" t="s">
        <v>77</v>
      </c>
      <c r="B55" t="s">
        <v>13</v>
      </c>
      <c r="C55" s="2">
        <v>16</v>
      </c>
      <c r="D55">
        <v>22</v>
      </c>
      <c r="E55">
        <v>83.58</v>
      </c>
      <c r="F55" t="s">
        <v>19</v>
      </c>
      <c r="G55" t="s">
        <v>15</v>
      </c>
      <c r="H55" t="s">
        <v>24</v>
      </c>
      <c r="I55">
        <v>80</v>
      </c>
      <c r="J55">
        <v>5.6</v>
      </c>
      <c r="K55">
        <v>54.048401983984299</v>
      </c>
      <c r="L55" t="s">
        <v>16</v>
      </c>
      <c r="M55" t="str">
        <f>IF(Table2[[#This Row],[Final_Exam_Score]]&gt;= 50,"Pass","Fail")</f>
        <v>Pass</v>
      </c>
    </row>
    <row r="56" spans="1:13" x14ac:dyDescent="0.25">
      <c r="A56" t="s">
        <v>78</v>
      </c>
      <c r="B56" t="s">
        <v>18</v>
      </c>
      <c r="C56" s="2">
        <v>21</v>
      </c>
      <c r="D56">
        <v>6</v>
      </c>
      <c r="E56">
        <v>88.72</v>
      </c>
      <c r="F56" t="s">
        <v>28</v>
      </c>
      <c r="G56" t="s">
        <v>26</v>
      </c>
      <c r="H56" t="s">
        <v>24</v>
      </c>
      <c r="I56">
        <v>78</v>
      </c>
      <c r="J56">
        <v>7.6</v>
      </c>
      <c r="K56">
        <v>51.1672312520597</v>
      </c>
      <c r="L56" t="s">
        <v>24</v>
      </c>
      <c r="M56" t="str">
        <f>IF(Table2[[#This Row],[Final_Exam_Score]]&gt;= 50,"Pass","Fail")</f>
        <v>Pass</v>
      </c>
    </row>
    <row r="57" spans="1:13" x14ac:dyDescent="0.25">
      <c r="A57" t="s">
        <v>79</v>
      </c>
      <c r="B57" t="s">
        <v>13</v>
      </c>
      <c r="C57" s="2">
        <v>19</v>
      </c>
      <c r="D57">
        <v>14</v>
      </c>
      <c r="E57">
        <v>75.75</v>
      </c>
      <c r="F57" t="s">
        <v>19</v>
      </c>
      <c r="G57" t="s">
        <v>26</v>
      </c>
      <c r="H57" t="s">
        <v>16</v>
      </c>
      <c r="I57">
        <v>48</v>
      </c>
      <c r="J57">
        <v>5.0999999999999996</v>
      </c>
      <c r="K57">
        <v>40</v>
      </c>
      <c r="L57" t="s">
        <v>16</v>
      </c>
      <c r="M57" t="str">
        <f>IF(Table2[[#This Row],[Final_Exam_Score]]&gt;= 50,"Pass","Fail")</f>
        <v>Fail</v>
      </c>
    </row>
    <row r="58" spans="1:13" x14ac:dyDescent="0.25">
      <c r="A58" t="s">
        <v>80</v>
      </c>
      <c r="B58" t="s">
        <v>18</v>
      </c>
      <c r="C58" s="2">
        <v>17</v>
      </c>
      <c r="D58">
        <v>18</v>
      </c>
      <c r="E58">
        <v>88.43</v>
      </c>
      <c r="F58" t="s">
        <v>22</v>
      </c>
      <c r="G58" t="s">
        <v>23</v>
      </c>
      <c r="H58" t="s">
        <v>24</v>
      </c>
      <c r="I58">
        <v>72</v>
      </c>
      <c r="J58">
        <v>5.6</v>
      </c>
      <c r="K58">
        <v>53.291153422672998</v>
      </c>
      <c r="L58" t="s">
        <v>16</v>
      </c>
      <c r="M58" t="str">
        <f>IF(Table2[[#This Row],[Final_Exam_Score]]&gt;= 50,"Pass","Fail")</f>
        <v>Pass</v>
      </c>
    </row>
    <row r="59" spans="1:13" x14ac:dyDescent="0.25">
      <c r="A59" t="s">
        <v>81</v>
      </c>
      <c r="B59" t="s">
        <v>13</v>
      </c>
      <c r="C59" s="2">
        <v>19</v>
      </c>
      <c r="D59">
        <v>29</v>
      </c>
      <c r="E59">
        <v>75.3</v>
      </c>
      <c r="F59" t="s">
        <v>14</v>
      </c>
      <c r="G59" t="s">
        <v>26</v>
      </c>
      <c r="H59" t="s">
        <v>16</v>
      </c>
      <c r="I59">
        <v>74</v>
      </c>
      <c r="J59">
        <v>8.6999999999999993</v>
      </c>
      <c r="K59">
        <v>55.232441359381198</v>
      </c>
      <c r="L59" t="s">
        <v>16</v>
      </c>
      <c r="M59" t="str">
        <f>IF(Table2[[#This Row],[Final_Exam_Score]]&gt;= 50,"Pass","Fail")</f>
        <v>Pass</v>
      </c>
    </row>
    <row r="60" spans="1:13" x14ac:dyDescent="0.25">
      <c r="A60" t="s">
        <v>82</v>
      </c>
      <c r="B60" t="s">
        <v>13</v>
      </c>
      <c r="C60" s="2">
        <v>18</v>
      </c>
      <c r="D60">
        <v>2</v>
      </c>
      <c r="E60">
        <v>96.58</v>
      </c>
      <c r="F60" t="s">
        <v>19</v>
      </c>
      <c r="G60" t="s">
        <v>15</v>
      </c>
      <c r="H60" t="s">
        <v>16</v>
      </c>
      <c r="I60">
        <v>65</v>
      </c>
      <c r="J60">
        <v>7.8</v>
      </c>
      <c r="K60">
        <v>40</v>
      </c>
      <c r="L60" t="s">
        <v>16</v>
      </c>
      <c r="M60" t="str">
        <f>IF(Table2[[#This Row],[Final_Exam_Score]]&gt;= 50,"Pass","Fail")</f>
        <v>Fail</v>
      </c>
    </row>
    <row r="61" spans="1:13" x14ac:dyDescent="0.25">
      <c r="A61" t="s">
        <v>83</v>
      </c>
      <c r="B61" t="s">
        <v>18</v>
      </c>
      <c r="C61" s="2">
        <v>18</v>
      </c>
      <c r="D61">
        <v>21</v>
      </c>
      <c r="E61">
        <v>95.82</v>
      </c>
      <c r="F61" t="s">
        <v>22</v>
      </c>
      <c r="G61" t="s">
        <v>26</v>
      </c>
      <c r="H61" t="s">
        <v>16</v>
      </c>
      <c r="I61">
        <v>51</v>
      </c>
      <c r="J61">
        <v>8.8000000000000007</v>
      </c>
      <c r="K61">
        <v>44.219741141601602</v>
      </c>
      <c r="L61" t="s">
        <v>16</v>
      </c>
      <c r="M61" t="str">
        <f>IF(Table2[[#This Row],[Final_Exam_Score]]&gt;= 50,"Pass","Fail")</f>
        <v>Fail</v>
      </c>
    </row>
    <row r="62" spans="1:13" x14ac:dyDescent="0.25">
      <c r="A62" t="s">
        <v>84</v>
      </c>
      <c r="B62" t="s">
        <v>13</v>
      </c>
      <c r="C62" s="2">
        <v>19</v>
      </c>
      <c r="D62">
        <v>29</v>
      </c>
      <c r="E62">
        <v>67.489999999999995</v>
      </c>
      <c r="F62" t="s">
        <v>22</v>
      </c>
      <c r="G62" t="s">
        <v>15</v>
      </c>
      <c r="H62" t="s">
        <v>16</v>
      </c>
      <c r="I62">
        <v>94</v>
      </c>
      <c r="J62">
        <v>4.4000000000000004</v>
      </c>
      <c r="K62">
        <v>64.169008458094794</v>
      </c>
      <c r="L62" t="s">
        <v>16</v>
      </c>
      <c r="M62" t="str">
        <f>IF(Table2[[#This Row],[Final_Exam_Score]]&gt;= 50,"Pass","Fail")</f>
        <v>Pass</v>
      </c>
    </row>
    <row r="63" spans="1:13" x14ac:dyDescent="0.25">
      <c r="A63" t="s">
        <v>85</v>
      </c>
      <c r="B63" t="s">
        <v>18</v>
      </c>
      <c r="C63" s="2">
        <v>15</v>
      </c>
      <c r="D63">
        <v>26</v>
      </c>
      <c r="E63">
        <v>70.260000000000005</v>
      </c>
      <c r="F63" t="s">
        <v>14</v>
      </c>
      <c r="G63" t="s">
        <v>23</v>
      </c>
      <c r="H63" t="s">
        <v>24</v>
      </c>
      <c r="I63">
        <v>83</v>
      </c>
      <c r="J63">
        <v>6.4</v>
      </c>
      <c r="K63">
        <v>59.554343703511499</v>
      </c>
      <c r="L63" t="s">
        <v>16</v>
      </c>
      <c r="M63" t="str">
        <f>IF(Table2[[#This Row],[Final_Exam_Score]]&gt;= 50,"Pass","Fail")</f>
        <v>Pass</v>
      </c>
    </row>
    <row r="64" spans="1:13" x14ac:dyDescent="0.25">
      <c r="A64" t="s">
        <v>86</v>
      </c>
      <c r="B64" t="s">
        <v>13</v>
      </c>
      <c r="C64" s="2">
        <v>18</v>
      </c>
      <c r="D64">
        <v>13</v>
      </c>
      <c r="E64">
        <v>89.43</v>
      </c>
      <c r="F64" t="s">
        <v>14</v>
      </c>
      <c r="G64" t="s">
        <v>15</v>
      </c>
      <c r="H64" t="s">
        <v>16</v>
      </c>
      <c r="I64">
        <v>95</v>
      </c>
      <c r="J64">
        <v>8.5</v>
      </c>
      <c r="K64">
        <v>53.494472246366698</v>
      </c>
      <c r="L64" t="s">
        <v>16</v>
      </c>
      <c r="M64" t="str">
        <f>IF(Table2[[#This Row],[Final_Exam_Score]]&gt;= 50,"Pass","Fail")</f>
        <v>Pass</v>
      </c>
    </row>
    <row r="65" spans="1:13" x14ac:dyDescent="0.25">
      <c r="A65" t="s">
        <v>87</v>
      </c>
      <c r="B65" t="s">
        <v>18</v>
      </c>
      <c r="C65" s="2">
        <v>19</v>
      </c>
      <c r="D65">
        <v>23</v>
      </c>
      <c r="E65">
        <v>65</v>
      </c>
      <c r="F65" t="s">
        <v>19</v>
      </c>
      <c r="G65" t="s">
        <v>23</v>
      </c>
      <c r="H65" t="s">
        <v>24</v>
      </c>
      <c r="I65">
        <v>75</v>
      </c>
      <c r="J65">
        <v>6.2</v>
      </c>
      <c r="K65">
        <v>55.379274436206998</v>
      </c>
      <c r="L65" t="s">
        <v>24</v>
      </c>
      <c r="M65" t="str">
        <f>IF(Table2[[#This Row],[Final_Exam_Score]]&gt;= 50,"Pass","Fail")</f>
        <v>Pass</v>
      </c>
    </row>
    <row r="66" spans="1:13" x14ac:dyDescent="0.25">
      <c r="A66" t="s">
        <v>88</v>
      </c>
      <c r="B66" t="s">
        <v>13</v>
      </c>
      <c r="C66" s="2">
        <v>16</v>
      </c>
      <c r="D66">
        <v>17</v>
      </c>
      <c r="E66">
        <v>93.76</v>
      </c>
      <c r="F66" t="s">
        <v>22</v>
      </c>
      <c r="G66" t="s">
        <v>26</v>
      </c>
      <c r="H66" t="s">
        <v>24</v>
      </c>
      <c r="I66">
        <v>60</v>
      </c>
      <c r="J66">
        <v>7.4</v>
      </c>
      <c r="K66">
        <v>46.423512923238398</v>
      </c>
      <c r="L66" t="s">
        <v>16</v>
      </c>
      <c r="M66" t="str">
        <f>IF(Table2[[#This Row],[Final_Exam_Score]]&gt;= 50,"Pass","Fail")</f>
        <v>Fail</v>
      </c>
    </row>
    <row r="67" spans="1:13" x14ac:dyDescent="0.25">
      <c r="A67" t="s">
        <v>89</v>
      </c>
      <c r="B67" t="s">
        <v>13</v>
      </c>
      <c r="C67" s="2">
        <v>21</v>
      </c>
      <c r="D67">
        <v>6</v>
      </c>
      <c r="E67">
        <v>77.47</v>
      </c>
      <c r="F67" t="s">
        <v>22</v>
      </c>
      <c r="G67" t="s">
        <v>15</v>
      </c>
      <c r="H67" t="s">
        <v>24</v>
      </c>
      <c r="I67">
        <v>73</v>
      </c>
      <c r="J67">
        <v>4.9000000000000004</v>
      </c>
      <c r="K67">
        <v>46.360473324748497</v>
      </c>
      <c r="L67" t="s">
        <v>24</v>
      </c>
      <c r="M67" t="str">
        <f>IF(Table2[[#This Row],[Final_Exam_Score]]&gt;= 50,"Pass","Fail")</f>
        <v>Fail</v>
      </c>
    </row>
    <row r="68" spans="1:13" x14ac:dyDescent="0.25">
      <c r="A68" t="s">
        <v>90</v>
      </c>
      <c r="B68" t="s">
        <v>13</v>
      </c>
      <c r="C68" s="2">
        <v>21</v>
      </c>
      <c r="D68">
        <v>29</v>
      </c>
      <c r="E68">
        <v>91.06</v>
      </c>
      <c r="F68" t="s">
        <v>14</v>
      </c>
      <c r="G68" t="s">
        <v>15</v>
      </c>
      <c r="H68" t="s">
        <v>16</v>
      </c>
      <c r="I68">
        <v>76</v>
      </c>
      <c r="J68">
        <v>5.2</v>
      </c>
      <c r="K68">
        <v>56.497080030284998</v>
      </c>
      <c r="L68" t="s">
        <v>16</v>
      </c>
      <c r="M68" t="str">
        <f>IF(Table2[[#This Row],[Final_Exam_Score]]&gt;= 50,"Pass","Fail")</f>
        <v>Pass</v>
      </c>
    </row>
    <row r="69" spans="1:13" x14ac:dyDescent="0.25">
      <c r="A69" t="s">
        <v>91</v>
      </c>
      <c r="B69" t="s">
        <v>13</v>
      </c>
      <c r="C69" s="2">
        <v>17</v>
      </c>
      <c r="D69">
        <v>13</v>
      </c>
      <c r="E69">
        <v>66.55</v>
      </c>
      <c r="F69" t="s">
        <v>28</v>
      </c>
      <c r="G69" t="s">
        <v>23</v>
      </c>
      <c r="H69" t="s">
        <v>16</v>
      </c>
      <c r="I69">
        <v>58</v>
      </c>
      <c r="J69">
        <v>6.1</v>
      </c>
      <c r="K69">
        <v>40</v>
      </c>
      <c r="L69" t="s">
        <v>16</v>
      </c>
      <c r="M69" t="str">
        <f>IF(Table2[[#This Row],[Final_Exam_Score]]&gt;= 50,"Pass","Fail")</f>
        <v>Fail</v>
      </c>
    </row>
    <row r="70" spans="1:13" x14ac:dyDescent="0.25">
      <c r="A70" t="s">
        <v>92</v>
      </c>
      <c r="B70" t="s">
        <v>18</v>
      </c>
      <c r="C70" s="2">
        <v>19</v>
      </c>
      <c r="D70">
        <v>19</v>
      </c>
      <c r="E70">
        <v>72.319999999999993</v>
      </c>
      <c r="F70" t="s">
        <v>14</v>
      </c>
      <c r="G70" t="s">
        <v>23</v>
      </c>
      <c r="H70" t="s">
        <v>16</v>
      </c>
      <c r="I70">
        <v>58</v>
      </c>
      <c r="J70">
        <v>5.6</v>
      </c>
      <c r="K70">
        <v>45.469367263613897</v>
      </c>
      <c r="L70" t="s">
        <v>16</v>
      </c>
      <c r="M70" t="str">
        <f>IF(Table2[[#This Row],[Final_Exam_Score]]&gt;= 50,"Pass","Fail")</f>
        <v>Fail</v>
      </c>
    </row>
    <row r="71" spans="1:13" x14ac:dyDescent="0.25">
      <c r="A71" t="s">
        <v>93</v>
      </c>
      <c r="B71" t="s">
        <v>13</v>
      </c>
      <c r="C71" s="2">
        <v>20</v>
      </c>
      <c r="D71">
        <v>22</v>
      </c>
      <c r="E71">
        <v>67.48</v>
      </c>
      <c r="F71" t="s">
        <v>28</v>
      </c>
      <c r="G71" t="s">
        <v>23</v>
      </c>
      <c r="H71" t="s">
        <v>24</v>
      </c>
      <c r="I71">
        <v>93</v>
      </c>
      <c r="J71">
        <v>7.2</v>
      </c>
      <c r="K71">
        <v>49.252766263942</v>
      </c>
      <c r="L71" t="s">
        <v>16</v>
      </c>
      <c r="M71" t="str">
        <f>IF(Table2[[#This Row],[Final_Exam_Score]]&gt;= 50,"Pass","Fail")</f>
        <v>Fail</v>
      </c>
    </row>
    <row r="72" spans="1:13" x14ac:dyDescent="0.25">
      <c r="A72" t="s">
        <v>94</v>
      </c>
      <c r="B72" t="s">
        <v>13</v>
      </c>
      <c r="C72" s="2">
        <v>17</v>
      </c>
      <c r="D72">
        <v>14</v>
      </c>
      <c r="E72">
        <v>71.290000000000006</v>
      </c>
      <c r="F72" t="s">
        <v>28</v>
      </c>
      <c r="G72" t="s">
        <v>26</v>
      </c>
      <c r="H72" t="s">
        <v>16</v>
      </c>
      <c r="I72">
        <v>75</v>
      </c>
      <c r="J72">
        <v>8.1</v>
      </c>
      <c r="K72">
        <v>52.608381494519101</v>
      </c>
      <c r="L72" t="s">
        <v>16</v>
      </c>
      <c r="M72" t="str">
        <f>IF(Table2[[#This Row],[Final_Exam_Score]]&gt;= 50,"Pass","Fail")</f>
        <v>Pass</v>
      </c>
    </row>
    <row r="73" spans="1:13" x14ac:dyDescent="0.25">
      <c r="A73" t="s">
        <v>95</v>
      </c>
      <c r="B73" t="s">
        <v>18</v>
      </c>
      <c r="C73" s="2">
        <v>15</v>
      </c>
      <c r="D73">
        <v>20</v>
      </c>
      <c r="E73">
        <v>78.45</v>
      </c>
      <c r="F73" t="s">
        <v>32</v>
      </c>
      <c r="G73" t="s">
        <v>15</v>
      </c>
      <c r="H73" t="s">
        <v>16</v>
      </c>
      <c r="I73">
        <v>84</v>
      </c>
      <c r="J73">
        <v>5.8</v>
      </c>
      <c r="K73">
        <v>48.779510698386602</v>
      </c>
      <c r="L73" t="s">
        <v>24</v>
      </c>
      <c r="M73" t="str">
        <f>IF(Table2[[#This Row],[Final_Exam_Score]]&gt;= 50,"Pass","Fail")</f>
        <v>Fail</v>
      </c>
    </row>
    <row r="74" spans="1:13" x14ac:dyDescent="0.25">
      <c r="A74" t="s">
        <v>96</v>
      </c>
      <c r="B74" t="s">
        <v>18</v>
      </c>
      <c r="C74" s="2">
        <v>19</v>
      </c>
      <c r="D74">
        <v>19</v>
      </c>
      <c r="E74">
        <v>82.2</v>
      </c>
      <c r="F74" t="s">
        <v>28</v>
      </c>
      <c r="G74" t="s">
        <v>23</v>
      </c>
      <c r="H74" t="s">
        <v>16</v>
      </c>
      <c r="I74">
        <v>48</v>
      </c>
      <c r="J74">
        <v>7.8</v>
      </c>
      <c r="K74">
        <v>46.640868416553602</v>
      </c>
      <c r="L74" t="s">
        <v>16</v>
      </c>
      <c r="M74" t="str">
        <f>IF(Table2[[#This Row],[Final_Exam_Score]]&gt;= 50,"Pass","Fail")</f>
        <v>Fail</v>
      </c>
    </row>
    <row r="75" spans="1:13" x14ac:dyDescent="0.25">
      <c r="A75" t="s">
        <v>97</v>
      </c>
      <c r="B75" t="s">
        <v>18</v>
      </c>
      <c r="C75" s="2">
        <v>15</v>
      </c>
      <c r="D75">
        <v>6</v>
      </c>
      <c r="E75">
        <v>97.06</v>
      </c>
      <c r="F75" t="s">
        <v>14</v>
      </c>
      <c r="G75" t="s">
        <v>26</v>
      </c>
      <c r="H75" t="s">
        <v>16</v>
      </c>
      <c r="I75">
        <v>56</v>
      </c>
      <c r="J75">
        <v>5.4</v>
      </c>
      <c r="K75">
        <v>44.767390511420899</v>
      </c>
      <c r="L75" t="s">
        <v>24</v>
      </c>
      <c r="M75" t="str">
        <f>IF(Table2[[#This Row],[Final_Exam_Score]]&gt;= 50,"Pass","Fail")</f>
        <v>Fail</v>
      </c>
    </row>
    <row r="76" spans="1:13" x14ac:dyDescent="0.25">
      <c r="A76" t="s">
        <v>98</v>
      </c>
      <c r="B76" t="s">
        <v>18</v>
      </c>
      <c r="C76" s="2">
        <v>21</v>
      </c>
      <c r="D76">
        <v>3</v>
      </c>
      <c r="E76">
        <v>86.95</v>
      </c>
      <c r="F76" t="s">
        <v>19</v>
      </c>
      <c r="G76" t="s">
        <v>26</v>
      </c>
      <c r="H76" t="s">
        <v>24</v>
      </c>
      <c r="I76">
        <v>88</v>
      </c>
      <c r="J76">
        <v>6</v>
      </c>
      <c r="K76">
        <v>56.531946666326697</v>
      </c>
      <c r="L76" t="s">
        <v>24</v>
      </c>
      <c r="M76" t="str">
        <f>IF(Table2[[#This Row],[Final_Exam_Score]]&gt;= 50,"Pass","Fail")</f>
        <v>Pass</v>
      </c>
    </row>
    <row r="77" spans="1:13" x14ac:dyDescent="0.25">
      <c r="A77" t="s">
        <v>99</v>
      </c>
      <c r="B77" t="s">
        <v>13</v>
      </c>
      <c r="C77" s="2">
        <v>18</v>
      </c>
      <c r="D77">
        <v>14</v>
      </c>
      <c r="E77">
        <v>89.73</v>
      </c>
      <c r="F77" t="s">
        <v>22</v>
      </c>
      <c r="G77" t="s">
        <v>26</v>
      </c>
      <c r="H77" t="s">
        <v>16</v>
      </c>
      <c r="I77">
        <v>91</v>
      </c>
      <c r="J77">
        <v>4.2</v>
      </c>
      <c r="K77">
        <v>54.9609692835079</v>
      </c>
      <c r="L77" t="s">
        <v>16</v>
      </c>
      <c r="M77" t="str">
        <f>IF(Table2[[#This Row],[Final_Exam_Score]]&gt;= 50,"Pass","Fail")</f>
        <v>Pass</v>
      </c>
    </row>
    <row r="78" spans="1:13" x14ac:dyDescent="0.25">
      <c r="A78" t="s">
        <v>100</v>
      </c>
      <c r="B78" t="s">
        <v>13</v>
      </c>
      <c r="C78" s="2">
        <v>20</v>
      </c>
      <c r="D78">
        <v>28</v>
      </c>
      <c r="E78">
        <v>67.87</v>
      </c>
      <c r="F78" t="s">
        <v>14</v>
      </c>
      <c r="G78" t="s">
        <v>15</v>
      </c>
      <c r="H78" t="s">
        <v>24</v>
      </c>
      <c r="I78">
        <v>89</v>
      </c>
      <c r="J78">
        <v>4.7</v>
      </c>
      <c r="K78">
        <v>48.529102174259997</v>
      </c>
      <c r="L78" t="s">
        <v>24</v>
      </c>
      <c r="M78" t="str">
        <f>IF(Table2[[#This Row],[Final_Exam_Score]]&gt;= 50,"Pass","Fail")</f>
        <v>Fail</v>
      </c>
    </row>
    <row r="79" spans="1:13" x14ac:dyDescent="0.25">
      <c r="A79" t="s">
        <v>101</v>
      </c>
      <c r="B79" t="s">
        <v>13</v>
      </c>
      <c r="C79" s="2">
        <v>17</v>
      </c>
      <c r="D79">
        <v>10</v>
      </c>
      <c r="E79">
        <v>75.040000000000006</v>
      </c>
      <c r="F79" t="s">
        <v>19</v>
      </c>
      <c r="G79" t="s">
        <v>26</v>
      </c>
      <c r="H79" t="s">
        <v>24</v>
      </c>
      <c r="I79">
        <v>96</v>
      </c>
      <c r="J79">
        <v>4.5999999999999996</v>
      </c>
      <c r="K79">
        <v>51.5030414411358</v>
      </c>
      <c r="L79" t="s">
        <v>24</v>
      </c>
      <c r="M79" t="str">
        <f>IF(Table2[[#This Row],[Final_Exam_Score]]&gt;= 50,"Pass","Fail")</f>
        <v>Pass</v>
      </c>
    </row>
    <row r="80" spans="1:13" x14ac:dyDescent="0.25">
      <c r="A80" t="s">
        <v>102</v>
      </c>
      <c r="B80" t="s">
        <v>13</v>
      </c>
      <c r="C80" s="2">
        <v>17</v>
      </c>
      <c r="D80">
        <v>3</v>
      </c>
      <c r="E80">
        <v>99.71</v>
      </c>
      <c r="F80" t="s">
        <v>28</v>
      </c>
      <c r="G80" t="s">
        <v>26</v>
      </c>
      <c r="H80" t="s">
        <v>16</v>
      </c>
      <c r="I80">
        <v>75</v>
      </c>
      <c r="J80">
        <v>6.9</v>
      </c>
      <c r="K80">
        <v>52.446167902493002</v>
      </c>
      <c r="L80" t="s">
        <v>16</v>
      </c>
      <c r="M80" t="str">
        <f>IF(Table2[[#This Row],[Final_Exam_Score]]&gt;= 50,"Pass","Fail")</f>
        <v>Pass</v>
      </c>
    </row>
    <row r="81" spans="1:13" x14ac:dyDescent="0.25">
      <c r="A81" t="s">
        <v>103</v>
      </c>
      <c r="B81" t="s">
        <v>18</v>
      </c>
      <c r="C81" s="2">
        <v>21</v>
      </c>
      <c r="D81">
        <v>19</v>
      </c>
      <c r="E81">
        <v>84.61</v>
      </c>
      <c r="F81" t="s">
        <v>32</v>
      </c>
      <c r="G81" t="s">
        <v>15</v>
      </c>
      <c r="H81" t="s">
        <v>16</v>
      </c>
      <c r="I81">
        <v>88</v>
      </c>
      <c r="J81">
        <v>7.1</v>
      </c>
      <c r="K81">
        <v>60.105876977983698</v>
      </c>
      <c r="L81" t="s">
        <v>24</v>
      </c>
      <c r="M81" t="str">
        <f>IF(Table2[[#This Row],[Final_Exam_Score]]&gt;= 50,"Pass","Fail")</f>
        <v>Pass</v>
      </c>
    </row>
    <row r="82" spans="1:13" x14ac:dyDescent="0.25">
      <c r="A82" t="s">
        <v>104</v>
      </c>
      <c r="B82" t="s">
        <v>18</v>
      </c>
      <c r="C82" s="2">
        <v>18</v>
      </c>
      <c r="D82">
        <v>25</v>
      </c>
      <c r="E82">
        <v>92.57</v>
      </c>
      <c r="F82" t="s">
        <v>14</v>
      </c>
      <c r="G82" t="s">
        <v>15</v>
      </c>
      <c r="H82" t="s">
        <v>16</v>
      </c>
      <c r="I82">
        <v>45</v>
      </c>
      <c r="J82">
        <v>4.3</v>
      </c>
      <c r="K82">
        <v>40</v>
      </c>
      <c r="L82" t="s">
        <v>24</v>
      </c>
      <c r="M82" t="str">
        <f>IF(Table2[[#This Row],[Final_Exam_Score]]&gt;= 50,"Pass","Fail")</f>
        <v>Fail</v>
      </c>
    </row>
    <row r="83" spans="1:13" x14ac:dyDescent="0.25">
      <c r="A83" t="s">
        <v>105</v>
      </c>
      <c r="B83" t="s">
        <v>13</v>
      </c>
      <c r="C83" s="2">
        <v>19</v>
      </c>
      <c r="D83">
        <v>4</v>
      </c>
      <c r="E83">
        <v>66.14</v>
      </c>
      <c r="F83" t="s">
        <v>22</v>
      </c>
      <c r="G83" t="s">
        <v>23</v>
      </c>
      <c r="H83" t="s">
        <v>24</v>
      </c>
      <c r="I83">
        <v>74</v>
      </c>
      <c r="J83">
        <v>6.8</v>
      </c>
      <c r="K83">
        <v>50.654939700102197</v>
      </c>
      <c r="L83" t="s">
        <v>16</v>
      </c>
      <c r="M83" t="str">
        <f>IF(Table2[[#This Row],[Final_Exam_Score]]&gt;= 50,"Pass","Fail")</f>
        <v>Pass</v>
      </c>
    </row>
    <row r="84" spans="1:13" x14ac:dyDescent="0.25">
      <c r="A84" t="s">
        <v>106</v>
      </c>
      <c r="B84" t="s">
        <v>13</v>
      </c>
      <c r="C84" s="2">
        <v>16</v>
      </c>
      <c r="D84">
        <v>13</v>
      </c>
      <c r="E84">
        <v>67.94</v>
      </c>
      <c r="F84" t="s">
        <v>28</v>
      </c>
      <c r="G84" t="s">
        <v>23</v>
      </c>
      <c r="H84" t="s">
        <v>16</v>
      </c>
      <c r="I84">
        <v>69</v>
      </c>
      <c r="J84">
        <v>7.8</v>
      </c>
      <c r="K84">
        <v>44.992810017019401</v>
      </c>
      <c r="L84" t="s">
        <v>24</v>
      </c>
      <c r="M84" t="str">
        <f>IF(Table2[[#This Row],[Final_Exam_Score]]&gt;= 50,"Pass","Fail")</f>
        <v>Fail</v>
      </c>
    </row>
    <row r="85" spans="1:13" x14ac:dyDescent="0.25">
      <c r="A85" t="s">
        <v>107</v>
      </c>
      <c r="B85" t="s">
        <v>13</v>
      </c>
      <c r="C85" s="2">
        <v>16</v>
      </c>
      <c r="D85">
        <v>26</v>
      </c>
      <c r="E85">
        <v>68.819999999999993</v>
      </c>
      <c r="F85" t="s">
        <v>32</v>
      </c>
      <c r="G85" t="s">
        <v>15</v>
      </c>
      <c r="H85" t="s">
        <v>24</v>
      </c>
      <c r="I85">
        <v>60</v>
      </c>
      <c r="J85">
        <v>6.5</v>
      </c>
      <c r="K85">
        <v>40</v>
      </c>
      <c r="L85" t="s">
        <v>16</v>
      </c>
      <c r="M85" t="str">
        <f>IF(Table2[[#This Row],[Final_Exam_Score]]&gt;= 50,"Pass","Fail")</f>
        <v>Fail</v>
      </c>
    </row>
    <row r="86" spans="1:13" x14ac:dyDescent="0.25">
      <c r="A86" t="s">
        <v>108</v>
      </c>
      <c r="B86" t="s">
        <v>13</v>
      </c>
      <c r="C86" s="2">
        <v>20</v>
      </c>
      <c r="D86">
        <v>17</v>
      </c>
      <c r="E86">
        <v>65.540000000000006</v>
      </c>
      <c r="F86" t="s">
        <v>32</v>
      </c>
      <c r="G86" t="s">
        <v>15</v>
      </c>
      <c r="H86" t="s">
        <v>16</v>
      </c>
      <c r="I86">
        <v>98</v>
      </c>
      <c r="J86">
        <v>6.3</v>
      </c>
      <c r="K86">
        <v>58.754339230461802</v>
      </c>
      <c r="L86" t="s">
        <v>16</v>
      </c>
      <c r="M86" t="str">
        <f>IF(Table2[[#This Row],[Final_Exam_Score]]&gt;= 50,"Pass","Fail")</f>
        <v>Pass</v>
      </c>
    </row>
    <row r="87" spans="1:13" x14ac:dyDescent="0.25">
      <c r="A87" t="s">
        <v>109</v>
      </c>
      <c r="B87" t="s">
        <v>18</v>
      </c>
      <c r="C87" s="2">
        <v>17</v>
      </c>
      <c r="D87">
        <v>27</v>
      </c>
      <c r="E87">
        <v>97.27</v>
      </c>
      <c r="F87" t="s">
        <v>28</v>
      </c>
      <c r="G87" t="s">
        <v>26</v>
      </c>
      <c r="H87" t="s">
        <v>24</v>
      </c>
      <c r="I87">
        <v>97</v>
      </c>
      <c r="J87">
        <v>7.2</v>
      </c>
      <c r="K87">
        <v>62.490228726242897</v>
      </c>
      <c r="L87" t="s">
        <v>16</v>
      </c>
      <c r="M87" t="str">
        <f>IF(Table2[[#This Row],[Final_Exam_Score]]&gt;= 50,"Pass","Fail")</f>
        <v>Pass</v>
      </c>
    </row>
    <row r="88" spans="1:13" x14ac:dyDescent="0.25">
      <c r="A88" t="s">
        <v>110</v>
      </c>
      <c r="B88" t="s">
        <v>13</v>
      </c>
      <c r="C88" s="2">
        <v>19</v>
      </c>
      <c r="D88">
        <v>10</v>
      </c>
      <c r="E88">
        <v>73.88</v>
      </c>
      <c r="F88" t="s">
        <v>14</v>
      </c>
      <c r="G88" t="s">
        <v>23</v>
      </c>
      <c r="H88" t="s">
        <v>16</v>
      </c>
      <c r="I88">
        <v>81</v>
      </c>
      <c r="J88">
        <v>5.9</v>
      </c>
      <c r="K88">
        <v>54.286774629236703</v>
      </c>
      <c r="L88" t="s">
        <v>16</v>
      </c>
      <c r="M88" t="str">
        <f>IF(Table2[[#This Row],[Final_Exam_Score]]&gt;= 50,"Pass","Fail")</f>
        <v>Pass</v>
      </c>
    </row>
    <row r="89" spans="1:13" x14ac:dyDescent="0.25">
      <c r="A89" t="s">
        <v>111</v>
      </c>
      <c r="B89" t="s">
        <v>18</v>
      </c>
      <c r="C89" s="2">
        <v>17</v>
      </c>
      <c r="D89">
        <v>13</v>
      </c>
      <c r="E89">
        <v>99.88</v>
      </c>
      <c r="F89" t="s">
        <v>28</v>
      </c>
      <c r="G89" t="s">
        <v>26</v>
      </c>
      <c r="H89" t="s">
        <v>24</v>
      </c>
      <c r="I89">
        <v>55</v>
      </c>
      <c r="J89">
        <v>7</v>
      </c>
      <c r="K89">
        <v>47.000767486343797</v>
      </c>
      <c r="L89" t="s">
        <v>24</v>
      </c>
      <c r="M89" t="str">
        <f>IF(Table2[[#This Row],[Final_Exam_Score]]&gt;= 50,"Pass","Fail")</f>
        <v>Fail</v>
      </c>
    </row>
    <row r="90" spans="1:13" x14ac:dyDescent="0.25">
      <c r="A90" t="s">
        <v>112</v>
      </c>
      <c r="B90" t="s">
        <v>18</v>
      </c>
      <c r="C90" s="2">
        <v>17</v>
      </c>
      <c r="D90">
        <v>15</v>
      </c>
      <c r="E90">
        <v>90.83</v>
      </c>
      <c r="F90" t="s">
        <v>28</v>
      </c>
      <c r="G90" t="s">
        <v>26</v>
      </c>
      <c r="H90" t="s">
        <v>16</v>
      </c>
      <c r="I90">
        <v>96</v>
      </c>
      <c r="J90">
        <v>8.6</v>
      </c>
      <c r="K90">
        <v>61.818449415933401</v>
      </c>
      <c r="L90" t="s">
        <v>24</v>
      </c>
      <c r="M90" t="str">
        <f>IF(Table2[[#This Row],[Final_Exam_Score]]&gt;= 50,"Pass","Fail")</f>
        <v>Pass</v>
      </c>
    </row>
    <row r="91" spans="1:13" x14ac:dyDescent="0.25">
      <c r="A91" t="s">
        <v>113</v>
      </c>
      <c r="B91" t="s">
        <v>13</v>
      </c>
      <c r="C91" s="2">
        <v>15</v>
      </c>
      <c r="D91">
        <v>21</v>
      </c>
      <c r="E91">
        <v>73.77</v>
      </c>
      <c r="F91" t="s">
        <v>14</v>
      </c>
      <c r="G91" t="s">
        <v>23</v>
      </c>
      <c r="H91" t="s">
        <v>24</v>
      </c>
      <c r="I91">
        <v>87</v>
      </c>
      <c r="J91">
        <v>8.3000000000000007</v>
      </c>
      <c r="K91">
        <v>54.409730448324602</v>
      </c>
      <c r="L91" t="s">
        <v>24</v>
      </c>
      <c r="M91" t="str">
        <f>IF(Table2[[#This Row],[Final_Exam_Score]]&gt;= 50,"Pass","Fail")</f>
        <v>Pass</v>
      </c>
    </row>
    <row r="92" spans="1:13" x14ac:dyDescent="0.25">
      <c r="A92" t="s">
        <v>114</v>
      </c>
      <c r="B92" t="s">
        <v>18</v>
      </c>
      <c r="C92" s="2">
        <v>16</v>
      </c>
      <c r="D92">
        <v>28</v>
      </c>
      <c r="E92">
        <v>99.71</v>
      </c>
      <c r="F92" t="s">
        <v>19</v>
      </c>
      <c r="G92" t="s">
        <v>23</v>
      </c>
      <c r="H92" t="s">
        <v>16</v>
      </c>
      <c r="I92">
        <v>98</v>
      </c>
      <c r="J92">
        <v>7.7</v>
      </c>
      <c r="K92">
        <v>73.158164421892295</v>
      </c>
      <c r="L92" t="s">
        <v>24</v>
      </c>
      <c r="M92" t="str">
        <f>IF(Table2[[#This Row],[Final_Exam_Score]]&gt;= 50,"Pass","Fail")</f>
        <v>Pass</v>
      </c>
    </row>
    <row r="93" spans="1:13" x14ac:dyDescent="0.25">
      <c r="A93" t="s">
        <v>115</v>
      </c>
      <c r="B93" t="s">
        <v>18</v>
      </c>
      <c r="C93" s="2">
        <v>19</v>
      </c>
      <c r="D93">
        <v>5</v>
      </c>
      <c r="E93">
        <v>95.4</v>
      </c>
      <c r="F93" t="s">
        <v>28</v>
      </c>
      <c r="G93" t="s">
        <v>26</v>
      </c>
      <c r="H93" t="s">
        <v>16</v>
      </c>
      <c r="I93">
        <v>47</v>
      </c>
      <c r="J93">
        <v>8.4</v>
      </c>
      <c r="K93">
        <v>40</v>
      </c>
      <c r="L93" t="s">
        <v>24</v>
      </c>
      <c r="M93" t="str">
        <f>IF(Table2[[#This Row],[Final_Exam_Score]]&gt;= 50,"Pass","Fail")</f>
        <v>Fail</v>
      </c>
    </row>
    <row r="94" spans="1:13" x14ac:dyDescent="0.25">
      <c r="A94" t="s">
        <v>116</v>
      </c>
      <c r="B94" t="s">
        <v>18</v>
      </c>
      <c r="C94" s="2">
        <v>20</v>
      </c>
      <c r="D94">
        <v>22</v>
      </c>
      <c r="E94">
        <v>70.77</v>
      </c>
      <c r="F94" t="s">
        <v>14</v>
      </c>
      <c r="G94" t="s">
        <v>15</v>
      </c>
      <c r="H94" t="s">
        <v>16</v>
      </c>
      <c r="I94">
        <v>97</v>
      </c>
      <c r="J94">
        <v>5.5</v>
      </c>
      <c r="K94">
        <v>61.235429035273398</v>
      </c>
      <c r="L94" t="s">
        <v>24</v>
      </c>
      <c r="M94" t="str">
        <f>IF(Table2[[#This Row],[Final_Exam_Score]]&gt;= 50,"Pass","Fail")</f>
        <v>Pass</v>
      </c>
    </row>
    <row r="95" spans="1:13" x14ac:dyDescent="0.25">
      <c r="A95" t="s">
        <v>117</v>
      </c>
      <c r="B95" t="s">
        <v>13</v>
      </c>
      <c r="C95" s="2">
        <v>17</v>
      </c>
      <c r="D95">
        <v>21</v>
      </c>
      <c r="E95">
        <v>71.489999999999995</v>
      </c>
      <c r="F95" t="s">
        <v>28</v>
      </c>
      <c r="G95" t="s">
        <v>23</v>
      </c>
      <c r="H95" t="s">
        <v>24</v>
      </c>
      <c r="I95">
        <v>77</v>
      </c>
      <c r="J95">
        <v>7.8</v>
      </c>
      <c r="K95">
        <v>51.607740723523698</v>
      </c>
      <c r="L95" t="s">
        <v>16</v>
      </c>
      <c r="M95" t="str">
        <f>IF(Table2[[#This Row],[Final_Exam_Score]]&gt;= 50,"Pass","Fail")</f>
        <v>Pass</v>
      </c>
    </row>
    <row r="96" spans="1:13" x14ac:dyDescent="0.25">
      <c r="A96" t="s">
        <v>118</v>
      </c>
      <c r="B96" t="s">
        <v>18</v>
      </c>
      <c r="C96" s="2">
        <v>19</v>
      </c>
      <c r="D96">
        <v>21</v>
      </c>
      <c r="E96">
        <v>88.81</v>
      </c>
      <c r="F96" t="s">
        <v>28</v>
      </c>
      <c r="G96" t="s">
        <v>23</v>
      </c>
      <c r="H96" t="s">
        <v>16</v>
      </c>
      <c r="I96">
        <v>61</v>
      </c>
      <c r="J96">
        <v>5.5</v>
      </c>
      <c r="K96">
        <v>43.294811503164901</v>
      </c>
      <c r="L96" t="s">
        <v>16</v>
      </c>
      <c r="M96" t="str">
        <f>IF(Table2[[#This Row],[Final_Exam_Score]]&gt;= 50,"Pass","Fail")</f>
        <v>Fail</v>
      </c>
    </row>
    <row r="97" spans="1:13" x14ac:dyDescent="0.25">
      <c r="A97" t="s">
        <v>119</v>
      </c>
      <c r="B97" t="s">
        <v>18</v>
      </c>
      <c r="C97" s="2">
        <v>20</v>
      </c>
      <c r="D97">
        <v>8</v>
      </c>
      <c r="E97">
        <v>67.739999999999995</v>
      </c>
      <c r="F97" t="s">
        <v>22</v>
      </c>
      <c r="G97" t="s">
        <v>15</v>
      </c>
      <c r="H97" t="s">
        <v>16</v>
      </c>
      <c r="I97">
        <v>85</v>
      </c>
      <c r="J97">
        <v>6.6</v>
      </c>
      <c r="K97">
        <v>49.571325687557298</v>
      </c>
      <c r="L97" t="s">
        <v>24</v>
      </c>
      <c r="M97" t="str">
        <f>IF(Table2[[#This Row],[Final_Exam_Score]]&gt;= 50,"Pass","Fail")</f>
        <v>Fail</v>
      </c>
    </row>
    <row r="98" spans="1:13" x14ac:dyDescent="0.25">
      <c r="A98" t="s">
        <v>120</v>
      </c>
      <c r="B98" t="s">
        <v>18</v>
      </c>
      <c r="C98" s="2">
        <v>19</v>
      </c>
      <c r="D98">
        <v>16</v>
      </c>
      <c r="E98">
        <v>85.46</v>
      </c>
      <c r="F98" t="s">
        <v>22</v>
      </c>
      <c r="G98" t="s">
        <v>15</v>
      </c>
      <c r="H98" t="s">
        <v>24</v>
      </c>
      <c r="I98">
        <v>60</v>
      </c>
      <c r="J98">
        <v>6.4</v>
      </c>
      <c r="K98">
        <v>41.161004635764002</v>
      </c>
      <c r="L98" t="s">
        <v>24</v>
      </c>
      <c r="M98" t="str">
        <f>IF(Table2[[#This Row],[Final_Exam_Score]]&gt;= 50,"Pass","Fail")</f>
        <v>Fail</v>
      </c>
    </row>
    <row r="99" spans="1:13" x14ac:dyDescent="0.25">
      <c r="A99" t="s">
        <v>121</v>
      </c>
      <c r="B99" t="s">
        <v>13</v>
      </c>
      <c r="C99" s="2">
        <v>19</v>
      </c>
      <c r="D99">
        <v>19</v>
      </c>
      <c r="E99">
        <v>67.33</v>
      </c>
      <c r="F99" t="s">
        <v>28</v>
      </c>
      <c r="G99" t="s">
        <v>26</v>
      </c>
      <c r="H99" t="s">
        <v>16</v>
      </c>
      <c r="I99">
        <v>79</v>
      </c>
      <c r="J99">
        <v>4.2</v>
      </c>
      <c r="K99">
        <v>60.968159972703802</v>
      </c>
      <c r="L99" t="s">
        <v>16</v>
      </c>
      <c r="M99" t="str">
        <f>IF(Table2[[#This Row],[Final_Exam_Score]]&gt;= 50,"Pass","Fail")</f>
        <v>Pass</v>
      </c>
    </row>
    <row r="100" spans="1:13" x14ac:dyDescent="0.25">
      <c r="A100" t="s">
        <v>122</v>
      </c>
      <c r="B100" t="s">
        <v>13</v>
      </c>
      <c r="C100" s="2">
        <v>16</v>
      </c>
      <c r="D100">
        <v>8</v>
      </c>
      <c r="E100">
        <v>72.75</v>
      </c>
      <c r="F100" t="s">
        <v>22</v>
      </c>
      <c r="G100" t="s">
        <v>15</v>
      </c>
      <c r="H100" t="s">
        <v>24</v>
      </c>
      <c r="I100">
        <v>62</v>
      </c>
      <c r="J100">
        <v>6.9</v>
      </c>
      <c r="K100">
        <v>46.829584866100397</v>
      </c>
      <c r="L100" t="s">
        <v>16</v>
      </c>
      <c r="M100" t="str">
        <f>IF(Table2[[#This Row],[Final_Exam_Score]]&gt;= 50,"Pass","Fail")</f>
        <v>Fail</v>
      </c>
    </row>
    <row r="101" spans="1:13" x14ac:dyDescent="0.25">
      <c r="A101" t="s">
        <v>123</v>
      </c>
      <c r="B101" t="s">
        <v>13</v>
      </c>
      <c r="C101" s="2">
        <v>18</v>
      </c>
      <c r="D101">
        <v>4</v>
      </c>
      <c r="E101">
        <v>98.2</v>
      </c>
      <c r="F101" t="s">
        <v>28</v>
      </c>
      <c r="G101" t="s">
        <v>15</v>
      </c>
      <c r="H101" t="s">
        <v>24</v>
      </c>
      <c r="I101">
        <v>52</v>
      </c>
      <c r="J101">
        <v>6.5</v>
      </c>
      <c r="K101">
        <v>40</v>
      </c>
      <c r="L101" t="s">
        <v>24</v>
      </c>
      <c r="M101" t="str">
        <f>IF(Table2[[#This Row],[Final_Exam_Score]]&gt;= 50,"Pass","Fail")</f>
        <v>Fail</v>
      </c>
    </row>
    <row r="102" spans="1:13" x14ac:dyDescent="0.25">
      <c r="A102" t="s">
        <v>124</v>
      </c>
      <c r="B102" t="s">
        <v>18</v>
      </c>
      <c r="C102" s="2">
        <v>16</v>
      </c>
      <c r="D102">
        <v>9</v>
      </c>
      <c r="E102">
        <v>82.45</v>
      </c>
      <c r="F102" t="s">
        <v>14</v>
      </c>
      <c r="G102" t="s">
        <v>26</v>
      </c>
      <c r="H102" t="s">
        <v>16</v>
      </c>
      <c r="I102">
        <v>63</v>
      </c>
      <c r="J102">
        <v>6.6</v>
      </c>
      <c r="K102">
        <v>42.1370065622054</v>
      </c>
      <c r="L102" t="s">
        <v>24</v>
      </c>
      <c r="M102" t="str">
        <f>IF(Table2[[#This Row],[Final_Exam_Score]]&gt;= 50,"Pass","Fail")</f>
        <v>Fail</v>
      </c>
    </row>
    <row r="103" spans="1:13" x14ac:dyDescent="0.25">
      <c r="A103" t="s">
        <v>125</v>
      </c>
      <c r="B103" t="s">
        <v>13</v>
      </c>
      <c r="C103" s="2">
        <v>21</v>
      </c>
      <c r="D103">
        <v>9</v>
      </c>
      <c r="E103">
        <v>85.08</v>
      </c>
      <c r="F103" t="s">
        <v>28</v>
      </c>
      <c r="G103" t="s">
        <v>26</v>
      </c>
      <c r="H103" t="s">
        <v>24</v>
      </c>
      <c r="I103">
        <v>88</v>
      </c>
      <c r="J103">
        <v>4.2</v>
      </c>
      <c r="K103">
        <v>57.963951620399101</v>
      </c>
      <c r="L103" t="s">
        <v>16</v>
      </c>
      <c r="M103" t="str">
        <f>IF(Table2[[#This Row],[Final_Exam_Score]]&gt;= 50,"Pass","Fail")</f>
        <v>Pass</v>
      </c>
    </row>
    <row r="104" spans="1:13" x14ac:dyDescent="0.25">
      <c r="A104" t="s">
        <v>126</v>
      </c>
      <c r="B104" t="s">
        <v>13</v>
      </c>
      <c r="C104" s="2">
        <v>19</v>
      </c>
      <c r="D104">
        <v>2</v>
      </c>
      <c r="E104">
        <v>74.44</v>
      </c>
      <c r="F104" t="s">
        <v>28</v>
      </c>
      <c r="G104" t="s">
        <v>23</v>
      </c>
      <c r="H104" t="s">
        <v>16</v>
      </c>
      <c r="I104">
        <v>89</v>
      </c>
      <c r="J104">
        <v>5.9</v>
      </c>
      <c r="K104">
        <v>56.956721903472904</v>
      </c>
      <c r="L104" t="s">
        <v>24</v>
      </c>
      <c r="M104" t="str">
        <f>IF(Table2[[#This Row],[Final_Exam_Score]]&gt;= 50,"Pass","Fail")</f>
        <v>Pass</v>
      </c>
    </row>
    <row r="105" spans="1:13" x14ac:dyDescent="0.25">
      <c r="A105" t="s">
        <v>127</v>
      </c>
      <c r="B105" t="s">
        <v>18</v>
      </c>
      <c r="C105" s="2">
        <v>16</v>
      </c>
      <c r="D105">
        <v>12</v>
      </c>
      <c r="E105">
        <v>80.400000000000006</v>
      </c>
      <c r="F105" t="s">
        <v>14</v>
      </c>
      <c r="G105" t="s">
        <v>15</v>
      </c>
      <c r="H105" t="s">
        <v>16</v>
      </c>
      <c r="I105">
        <v>56</v>
      </c>
      <c r="J105">
        <v>6.1</v>
      </c>
      <c r="K105">
        <v>46.439072946367702</v>
      </c>
      <c r="L105" t="s">
        <v>24</v>
      </c>
      <c r="M105" t="str">
        <f>IF(Table2[[#This Row],[Final_Exam_Score]]&gt;= 50,"Pass","Fail")</f>
        <v>Fail</v>
      </c>
    </row>
    <row r="106" spans="1:13" x14ac:dyDescent="0.25">
      <c r="A106" t="s">
        <v>128</v>
      </c>
      <c r="B106" t="s">
        <v>18</v>
      </c>
      <c r="C106" s="2">
        <v>20</v>
      </c>
      <c r="D106">
        <v>23</v>
      </c>
      <c r="E106">
        <v>69.66</v>
      </c>
      <c r="F106" t="s">
        <v>19</v>
      </c>
      <c r="G106" t="s">
        <v>23</v>
      </c>
      <c r="H106" t="s">
        <v>24</v>
      </c>
      <c r="I106">
        <v>60</v>
      </c>
      <c r="J106">
        <v>7.7</v>
      </c>
      <c r="K106">
        <v>54.355617111683898</v>
      </c>
      <c r="L106" t="s">
        <v>24</v>
      </c>
      <c r="M106" t="str">
        <f>IF(Table2[[#This Row],[Final_Exam_Score]]&gt;= 50,"Pass","Fail")</f>
        <v>Pass</v>
      </c>
    </row>
    <row r="107" spans="1:13" x14ac:dyDescent="0.25">
      <c r="A107" t="s">
        <v>129</v>
      </c>
      <c r="B107" t="s">
        <v>18</v>
      </c>
      <c r="C107" s="2">
        <v>20</v>
      </c>
      <c r="D107">
        <v>22</v>
      </c>
      <c r="E107">
        <v>83.08</v>
      </c>
      <c r="F107" t="s">
        <v>28</v>
      </c>
      <c r="G107" t="s">
        <v>15</v>
      </c>
      <c r="H107" t="s">
        <v>16</v>
      </c>
      <c r="I107">
        <v>76</v>
      </c>
      <c r="J107">
        <v>7.7</v>
      </c>
      <c r="K107">
        <v>54.283456246336002</v>
      </c>
      <c r="L107" t="s">
        <v>16</v>
      </c>
      <c r="M107" t="str">
        <f>IF(Table2[[#This Row],[Final_Exam_Score]]&gt;= 50,"Pass","Fail")</f>
        <v>Pass</v>
      </c>
    </row>
    <row r="108" spans="1:13" x14ac:dyDescent="0.25">
      <c r="A108" t="s">
        <v>130</v>
      </c>
      <c r="B108" t="s">
        <v>13</v>
      </c>
      <c r="C108" s="2">
        <v>15</v>
      </c>
      <c r="D108">
        <v>8</v>
      </c>
      <c r="E108">
        <v>66.89</v>
      </c>
      <c r="F108" t="s">
        <v>28</v>
      </c>
      <c r="G108" t="s">
        <v>15</v>
      </c>
      <c r="H108" t="s">
        <v>24</v>
      </c>
      <c r="I108">
        <v>53</v>
      </c>
      <c r="J108">
        <v>5.9</v>
      </c>
      <c r="K108">
        <v>43.387219195231602</v>
      </c>
      <c r="L108" t="s">
        <v>16</v>
      </c>
      <c r="M108" t="str">
        <f>IF(Table2[[#This Row],[Final_Exam_Score]]&gt;= 50,"Pass","Fail")</f>
        <v>Fail</v>
      </c>
    </row>
    <row r="109" spans="1:13" x14ac:dyDescent="0.25">
      <c r="A109" t="s">
        <v>131</v>
      </c>
      <c r="B109" t="s">
        <v>18</v>
      </c>
      <c r="C109" s="2">
        <v>16</v>
      </c>
      <c r="D109">
        <v>14</v>
      </c>
      <c r="E109">
        <v>66.69</v>
      </c>
      <c r="F109" t="s">
        <v>32</v>
      </c>
      <c r="G109" t="s">
        <v>15</v>
      </c>
      <c r="H109" t="s">
        <v>16</v>
      </c>
      <c r="I109">
        <v>81</v>
      </c>
      <c r="J109">
        <v>6</v>
      </c>
      <c r="K109">
        <v>44.142066131211998</v>
      </c>
      <c r="L109" t="s">
        <v>24</v>
      </c>
      <c r="M109" t="str">
        <f>IF(Table2[[#This Row],[Final_Exam_Score]]&gt;= 50,"Pass","Fail")</f>
        <v>Fail</v>
      </c>
    </row>
    <row r="110" spans="1:13" x14ac:dyDescent="0.25">
      <c r="A110" t="s">
        <v>132</v>
      </c>
      <c r="B110" t="s">
        <v>18</v>
      </c>
      <c r="C110" s="2">
        <v>19</v>
      </c>
      <c r="D110">
        <v>3</v>
      </c>
      <c r="E110">
        <v>88.79</v>
      </c>
      <c r="F110" t="s">
        <v>14</v>
      </c>
      <c r="G110" t="s">
        <v>15</v>
      </c>
      <c r="H110" t="s">
        <v>24</v>
      </c>
      <c r="I110">
        <v>63</v>
      </c>
      <c r="J110">
        <v>7.6</v>
      </c>
      <c r="K110">
        <v>48.210509455000597</v>
      </c>
      <c r="L110" t="s">
        <v>16</v>
      </c>
      <c r="M110" t="str">
        <f>IF(Table2[[#This Row],[Final_Exam_Score]]&gt;= 50,"Pass","Fail")</f>
        <v>Fail</v>
      </c>
    </row>
    <row r="111" spans="1:13" x14ac:dyDescent="0.25">
      <c r="A111" t="s">
        <v>133</v>
      </c>
      <c r="B111" t="s">
        <v>13</v>
      </c>
      <c r="C111" s="2">
        <v>20</v>
      </c>
      <c r="D111">
        <v>3</v>
      </c>
      <c r="E111">
        <v>66.92</v>
      </c>
      <c r="F111" t="s">
        <v>19</v>
      </c>
      <c r="G111" t="s">
        <v>15</v>
      </c>
      <c r="H111" t="s">
        <v>24</v>
      </c>
      <c r="I111">
        <v>50</v>
      </c>
      <c r="J111">
        <v>6.1</v>
      </c>
      <c r="K111">
        <v>40</v>
      </c>
      <c r="L111" t="s">
        <v>24</v>
      </c>
      <c r="M111" t="str">
        <f>IF(Table2[[#This Row],[Final_Exam_Score]]&gt;= 50,"Pass","Fail")</f>
        <v>Fail</v>
      </c>
    </row>
    <row r="112" spans="1:13" x14ac:dyDescent="0.25">
      <c r="A112" t="s">
        <v>134</v>
      </c>
      <c r="B112" t="s">
        <v>13</v>
      </c>
      <c r="C112" s="2">
        <v>16</v>
      </c>
      <c r="D112">
        <v>22</v>
      </c>
      <c r="E112">
        <v>83.24</v>
      </c>
      <c r="F112" t="s">
        <v>28</v>
      </c>
      <c r="G112" t="s">
        <v>15</v>
      </c>
      <c r="H112" t="s">
        <v>24</v>
      </c>
      <c r="I112">
        <v>68</v>
      </c>
      <c r="J112">
        <v>7</v>
      </c>
      <c r="K112">
        <v>49.714643442892203</v>
      </c>
      <c r="L112" t="s">
        <v>16</v>
      </c>
      <c r="M112" t="str">
        <f>IF(Table2[[#This Row],[Final_Exam_Score]]&gt;= 50,"Pass","Fail")</f>
        <v>Fail</v>
      </c>
    </row>
    <row r="113" spans="1:13" x14ac:dyDescent="0.25">
      <c r="A113" t="s">
        <v>135</v>
      </c>
      <c r="B113" t="s">
        <v>18</v>
      </c>
      <c r="C113" s="2">
        <v>15</v>
      </c>
      <c r="D113">
        <v>17</v>
      </c>
      <c r="E113">
        <v>74.31</v>
      </c>
      <c r="F113" t="s">
        <v>28</v>
      </c>
      <c r="G113" t="s">
        <v>26</v>
      </c>
      <c r="H113" t="s">
        <v>24</v>
      </c>
      <c r="I113">
        <v>97</v>
      </c>
      <c r="J113">
        <v>5.3</v>
      </c>
      <c r="K113">
        <v>65.664956161603797</v>
      </c>
      <c r="L113" t="s">
        <v>24</v>
      </c>
      <c r="M113" t="str">
        <f>IF(Table2[[#This Row],[Final_Exam_Score]]&gt;= 50,"Pass","Fail")</f>
        <v>Pass</v>
      </c>
    </row>
    <row r="114" spans="1:13" x14ac:dyDescent="0.25">
      <c r="A114" t="s">
        <v>136</v>
      </c>
      <c r="B114" t="s">
        <v>18</v>
      </c>
      <c r="C114" s="2">
        <v>21</v>
      </c>
      <c r="D114">
        <v>2</v>
      </c>
      <c r="E114">
        <v>71.569999999999993</v>
      </c>
      <c r="F114" t="s">
        <v>14</v>
      </c>
      <c r="G114" t="s">
        <v>15</v>
      </c>
      <c r="H114" t="s">
        <v>24</v>
      </c>
      <c r="I114">
        <v>49</v>
      </c>
      <c r="J114">
        <v>4.3</v>
      </c>
      <c r="K114">
        <v>40</v>
      </c>
      <c r="L114" t="s">
        <v>16</v>
      </c>
      <c r="M114" t="str">
        <f>IF(Table2[[#This Row],[Final_Exam_Score]]&gt;= 50,"Pass","Fail")</f>
        <v>Fail</v>
      </c>
    </row>
    <row r="115" spans="1:13" x14ac:dyDescent="0.25">
      <c r="A115" t="s">
        <v>137</v>
      </c>
      <c r="B115" t="s">
        <v>13</v>
      </c>
      <c r="C115" s="2">
        <v>15</v>
      </c>
      <c r="D115">
        <v>25</v>
      </c>
      <c r="E115">
        <v>85.07</v>
      </c>
      <c r="F115" t="s">
        <v>19</v>
      </c>
      <c r="G115" t="s">
        <v>23</v>
      </c>
      <c r="H115" t="s">
        <v>24</v>
      </c>
      <c r="I115">
        <v>74</v>
      </c>
      <c r="J115">
        <v>7.5</v>
      </c>
      <c r="K115">
        <v>53.273353938361304</v>
      </c>
      <c r="L115" t="s">
        <v>16</v>
      </c>
      <c r="M115" t="str">
        <f>IF(Table2[[#This Row],[Final_Exam_Score]]&gt;= 50,"Pass","Fail")</f>
        <v>Pass</v>
      </c>
    </row>
    <row r="116" spans="1:13" x14ac:dyDescent="0.25">
      <c r="A116" t="s">
        <v>138</v>
      </c>
      <c r="B116" t="s">
        <v>18</v>
      </c>
      <c r="C116" s="2">
        <v>21</v>
      </c>
      <c r="D116">
        <v>8</v>
      </c>
      <c r="E116">
        <v>75.38</v>
      </c>
      <c r="F116" t="s">
        <v>19</v>
      </c>
      <c r="G116" t="s">
        <v>15</v>
      </c>
      <c r="H116" t="s">
        <v>16</v>
      </c>
      <c r="I116">
        <v>48</v>
      </c>
      <c r="J116">
        <v>7.3</v>
      </c>
      <c r="K116">
        <v>49.437150817014299</v>
      </c>
      <c r="L116" t="s">
        <v>24</v>
      </c>
      <c r="M116" t="str">
        <f>IF(Table2[[#This Row],[Final_Exam_Score]]&gt;= 50,"Pass","Fail")</f>
        <v>Fail</v>
      </c>
    </row>
    <row r="117" spans="1:13" x14ac:dyDescent="0.25">
      <c r="A117" t="s">
        <v>139</v>
      </c>
      <c r="B117" t="s">
        <v>18</v>
      </c>
      <c r="C117" s="2">
        <v>21</v>
      </c>
      <c r="D117">
        <v>26</v>
      </c>
      <c r="E117">
        <v>80.97</v>
      </c>
      <c r="F117" t="s">
        <v>32</v>
      </c>
      <c r="G117" t="s">
        <v>23</v>
      </c>
      <c r="H117" t="s">
        <v>16</v>
      </c>
      <c r="I117">
        <v>85</v>
      </c>
      <c r="J117">
        <v>4.4000000000000004</v>
      </c>
      <c r="K117">
        <v>64.288148493903094</v>
      </c>
      <c r="L117" t="s">
        <v>24</v>
      </c>
      <c r="M117" t="str">
        <f>IF(Table2[[#This Row],[Final_Exam_Score]]&gt;= 50,"Pass","Fail")</f>
        <v>Pass</v>
      </c>
    </row>
    <row r="118" spans="1:13" x14ac:dyDescent="0.25">
      <c r="A118" t="s">
        <v>140</v>
      </c>
      <c r="B118" t="s">
        <v>18</v>
      </c>
      <c r="C118" s="2">
        <v>16</v>
      </c>
      <c r="D118">
        <v>9</v>
      </c>
      <c r="E118">
        <v>69.86</v>
      </c>
      <c r="F118" t="s">
        <v>14</v>
      </c>
      <c r="G118" t="s">
        <v>15</v>
      </c>
      <c r="H118" t="s">
        <v>24</v>
      </c>
      <c r="I118">
        <v>69</v>
      </c>
      <c r="J118">
        <v>4.0999999999999996</v>
      </c>
      <c r="K118">
        <v>42.063153531263602</v>
      </c>
      <c r="L118" t="s">
        <v>24</v>
      </c>
      <c r="M118" t="str">
        <f>IF(Table2[[#This Row],[Final_Exam_Score]]&gt;= 50,"Pass","Fail")</f>
        <v>Fail</v>
      </c>
    </row>
    <row r="119" spans="1:13" x14ac:dyDescent="0.25">
      <c r="A119" t="s">
        <v>141</v>
      </c>
      <c r="B119" t="s">
        <v>18</v>
      </c>
      <c r="C119" s="2">
        <v>19</v>
      </c>
      <c r="D119">
        <v>8</v>
      </c>
      <c r="E119">
        <v>69.430000000000007</v>
      </c>
      <c r="F119" t="s">
        <v>28</v>
      </c>
      <c r="G119" t="s">
        <v>15</v>
      </c>
      <c r="H119" t="s">
        <v>16</v>
      </c>
      <c r="I119">
        <v>94</v>
      </c>
      <c r="J119">
        <v>4</v>
      </c>
      <c r="K119">
        <v>41.771778856826998</v>
      </c>
      <c r="L119" t="s">
        <v>24</v>
      </c>
      <c r="M119" t="str">
        <f>IF(Table2[[#This Row],[Final_Exam_Score]]&gt;= 50,"Pass","Fail")</f>
        <v>Fail</v>
      </c>
    </row>
    <row r="120" spans="1:13" x14ac:dyDescent="0.25">
      <c r="A120" t="s">
        <v>142</v>
      </c>
      <c r="B120" t="s">
        <v>18</v>
      </c>
      <c r="C120" s="2">
        <v>21</v>
      </c>
      <c r="D120">
        <v>16</v>
      </c>
      <c r="E120">
        <v>68.73</v>
      </c>
      <c r="F120" t="s">
        <v>22</v>
      </c>
      <c r="G120" t="s">
        <v>23</v>
      </c>
      <c r="H120" t="s">
        <v>24</v>
      </c>
      <c r="I120">
        <v>45</v>
      </c>
      <c r="J120">
        <v>4.5999999999999996</v>
      </c>
      <c r="K120">
        <v>40</v>
      </c>
      <c r="L120" t="s">
        <v>16</v>
      </c>
      <c r="M120" t="str">
        <f>IF(Table2[[#This Row],[Final_Exam_Score]]&gt;= 50,"Pass","Fail")</f>
        <v>Fail</v>
      </c>
    </row>
    <row r="121" spans="1:13" x14ac:dyDescent="0.25">
      <c r="A121" t="s">
        <v>143</v>
      </c>
      <c r="B121" t="s">
        <v>18</v>
      </c>
      <c r="C121" s="2">
        <v>19</v>
      </c>
      <c r="D121">
        <v>10</v>
      </c>
      <c r="E121">
        <v>67.5</v>
      </c>
      <c r="F121" t="s">
        <v>14</v>
      </c>
      <c r="G121" t="s">
        <v>26</v>
      </c>
      <c r="H121" t="s">
        <v>24</v>
      </c>
      <c r="I121">
        <v>58</v>
      </c>
      <c r="J121">
        <v>5.0999999999999996</v>
      </c>
      <c r="K121">
        <v>40</v>
      </c>
      <c r="L121" t="s">
        <v>24</v>
      </c>
      <c r="M121" t="str">
        <f>IF(Table2[[#This Row],[Final_Exam_Score]]&gt;= 50,"Pass","Fail")</f>
        <v>Fail</v>
      </c>
    </row>
    <row r="122" spans="1:13" x14ac:dyDescent="0.25">
      <c r="A122" t="s">
        <v>144</v>
      </c>
      <c r="B122" t="s">
        <v>18</v>
      </c>
      <c r="C122" s="2">
        <v>17</v>
      </c>
      <c r="D122">
        <v>13</v>
      </c>
      <c r="E122">
        <v>84.38</v>
      </c>
      <c r="F122" t="s">
        <v>32</v>
      </c>
      <c r="G122" t="s">
        <v>26</v>
      </c>
      <c r="H122" t="s">
        <v>24</v>
      </c>
      <c r="I122">
        <v>87</v>
      </c>
      <c r="J122">
        <v>8.3000000000000007</v>
      </c>
      <c r="K122">
        <v>52.443306726782502</v>
      </c>
      <c r="L122" t="s">
        <v>16</v>
      </c>
      <c r="M122" t="str">
        <f>IF(Table2[[#This Row],[Final_Exam_Score]]&gt;= 50,"Pass","Fail")</f>
        <v>Pass</v>
      </c>
    </row>
    <row r="123" spans="1:13" x14ac:dyDescent="0.25">
      <c r="A123" t="s">
        <v>145</v>
      </c>
      <c r="B123" t="s">
        <v>13</v>
      </c>
      <c r="C123" s="2">
        <v>19</v>
      </c>
      <c r="D123">
        <v>20</v>
      </c>
      <c r="E123">
        <v>91.46</v>
      </c>
      <c r="F123" t="s">
        <v>19</v>
      </c>
      <c r="G123" t="s">
        <v>15</v>
      </c>
      <c r="H123" t="s">
        <v>24</v>
      </c>
      <c r="I123">
        <v>83</v>
      </c>
      <c r="J123">
        <v>6.2</v>
      </c>
      <c r="K123">
        <v>55.013939205387501</v>
      </c>
      <c r="L123" t="s">
        <v>24</v>
      </c>
      <c r="M123" t="str">
        <f>IF(Table2[[#This Row],[Final_Exam_Score]]&gt;= 50,"Pass","Fail")</f>
        <v>Pass</v>
      </c>
    </row>
    <row r="124" spans="1:13" x14ac:dyDescent="0.25">
      <c r="A124" t="s">
        <v>146</v>
      </c>
      <c r="B124" t="s">
        <v>18</v>
      </c>
      <c r="C124" s="2">
        <v>21</v>
      </c>
      <c r="D124">
        <v>24</v>
      </c>
      <c r="E124">
        <v>92.73</v>
      </c>
      <c r="F124" t="s">
        <v>32</v>
      </c>
      <c r="G124" t="s">
        <v>26</v>
      </c>
      <c r="H124" t="s">
        <v>16</v>
      </c>
      <c r="I124">
        <v>61</v>
      </c>
      <c r="J124">
        <v>7.3</v>
      </c>
      <c r="K124">
        <v>50.911657001971101</v>
      </c>
      <c r="L124" t="s">
        <v>16</v>
      </c>
      <c r="M124" t="str">
        <f>IF(Table2[[#This Row],[Final_Exam_Score]]&gt;= 50,"Pass","Fail")</f>
        <v>Pass</v>
      </c>
    </row>
    <row r="125" spans="1:13" x14ac:dyDescent="0.25">
      <c r="A125" t="s">
        <v>147</v>
      </c>
      <c r="B125" t="s">
        <v>18</v>
      </c>
      <c r="C125" s="2">
        <v>20</v>
      </c>
      <c r="D125">
        <v>29</v>
      </c>
      <c r="E125">
        <v>98.52</v>
      </c>
      <c r="F125" t="s">
        <v>28</v>
      </c>
      <c r="G125" t="s">
        <v>26</v>
      </c>
      <c r="H125" t="s">
        <v>16</v>
      </c>
      <c r="I125">
        <v>84</v>
      </c>
      <c r="J125">
        <v>8.8000000000000007</v>
      </c>
      <c r="K125">
        <v>68.578562565562393</v>
      </c>
      <c r="L125" t="s">
        <v>16</v>
      </c>
      <c r="M125" t="str">
        <f>IF(Table2[[#This Row],[Final_Exam_Score]]&gt;= 50,"Pass","Fail")</f>
        <v>Pass</v>
      </c>
    </row>
    <row r="126" spans="1:13" x14ac:dyDescent="0.25">
      <c r="A126" t="s">
        <v>148</v>
      </c>
      <c r="B126" t="s">
        <v>18</v>
      </c>
      <c r="C126" s="2">
        <v>18</v>
      </c>
      <c r="D126">
        <v>22</v>
      </c>
      <c r="E126">
        <v>70.89</v>
      </c>
      <c r="F126" t="s">
        <v>28</v>
      </c>
      <c r="G126" t="s">
        <v>26</v>
      </c>
      <c r="H126" t="s">
        <v>16</v>
      </c>
      <c r="I126">
        <v>94</v>
      </c>
      <c r="J126">
        <v>6.2</v>
      </c>
      <c r="K126">
        <v>53.476408870659803</v>
      </c>
      <c r="L126" t="s">
        <v>24</v>
      </c>
      <c r="M126" t="str">
        <f>IF(Table2[[#This Row],[Final_Exam_Score]]&gt;= 50,"Pass","Fail")</f>
        <v>Pass</v>
      </c>
    </row>
    <row r="127" spans="1:13" x14ac:dyDescent="0.25">
      <c r="A127" t="s">
        <v>149</v>
      </c>
      <c r="B127" t="s">
        <v>18</v>
      </c>
      <c r="C127" s="2">
        <v>20</v>
      </c>
      <c r="D127">
        <v>18</v>
      </c>
      <c r="E127">
        <v>69.75</v>
      </c>
      <c r="F127" t="s">
        <v>19</v>
      </c>
      <c r="G127" t="s">
        <v>15</v>
      </c>
      <c r="H127" t="s">
        <v>24</v>
      </c>
      <c r="I127">
        <v>76</v>
      </c>
      <c r="J127">
        <v>8</v>
      </c>
      <c r="K127">
        <v>49.398098264473902</v>
      </c>
      <c r="L127" t="s">
        <v>24</v>
      </c>
      <c r="M127" t="str">
        <f>IF(Table2[[#This Row],[Final_Exam_Score]]&gt;= 50,"Pass","Fail")</f>
        <v>Fail</v>
      </c>
    </row>
    <row r="128" spans="1:13" x14ac:dyDescent="0.25">
      <c r="A128" t="s">
        <v>150</v>
      </c>
      <c r="B128" t="s">
        <v>13</v>
      </c>
      <c r="C128" s="2">
        <v>19</v>
      </c>
      <c r="D128">
        <v>7</v>
      </c>
      <c r="E128">
        <v>81.45</v>
      </c>
      <c r="F128" t="s">
        <v>19</v>
      </c>
      <c r="G128" t="s">
        <v>15</v>
      </c>
      <c r="H128" t="s">
        <v>16</v>
      </c>
      <c r="I128">
        <v>60</v>
      </c>
      <c r="J128">
        <v>5.9</v>
      </c>
      <c r="K128">
        <v>41.381244407005902</v>
      </c>
      <c r="L128" t="s">
        <v>16</v>
      </c>
      <c r="M128" t="str">
        <f>IF(Table2[[#This Row],[Final_Exam_Score]]&gt;= 50,"Pass","Fail")</f>
        <v>Fail</v>
      </c>
    </row>
    <row r="129" spans="1:13" x14ac:dyDescent="0.25">
      <c r="A129" t="s">
        <v>151</v>
      </c>
      <c r="B129" t="s">
        <v>13</v>
      </c>
      <c r="C129" s="2">
        <v>21</v>
      </c>
      <c r="D129">
        <v>10</v>
      </c>
      <c r="E129">
        <v>95.14</v>
      </c>
      <c r="F129" t="s">
        <v>28</v>
      </c>
      <c r="G129" t="s">
        <v>15</v>
      </c>
      <c r="H129" t="s">
        <v>16</v>
      </c>
      <c r="I129">
        <v>63</v>
      </c>
      <c r="J129">
        <v>7.7</v>
      </c>
      <c r="K129">
        <v>43.109132241888602</v>
      </c>
      <c r="L129" t="s">
        <v>16</v>
      </c>
      <c r="M129" t="str">
        <f>IF(Table2[[#This Row],[Final_Exam_Score]]&gt;= 50,"Pass","Fail")</f>
        <v>Fail</v>
      </c>
    </row>
    <row r="130" spans="1:13" x14ac:dyDescent="0.25">
      <c r="A130" t="s">
        <v>152</v>
      </c>
      <c r="B130" t="s">
        <v>13</v>
      </c>
      <c r="C130" s="2">
        <v>21</v>
      </c>
      <c r="D130">
        <v>8</v>
      </c>
      <c r="E130">
        <v>91.85</v>
      </c>
      <c r="F130" t="s">
        <v>22</v>
      </c>
      <c r="G130" t="s">
        <v>23</v>
      </c>
      <c r="H130" t="s">
        <v>24</v>
      </c>
      <c r="I130">
        <v>65</v>
      </c>
      <c r="J130">
        <v>5.3</v>
      </c>
      <c r="K130">
        <v>48.1764789252234</v>
      </c>
      <c r="L130" t="s">
        <v>16</v>
      </c>
      <c r="M130" t="str">
        <f>IF(Table2[[#This Row],[Final_Exam_Score]]&gt;= 50,"Pass","Fail")</f>
        <v>Fail</v>
      </c>
    </row>
    <row r="131" spans="1:13" x14ac:dyDescent="0.25">
      <c r="A131" t="s">
        <v>153</v>
      </c>
      <c r="B131" t="s">
        <v>18</v>
      </c>
      <c r="C131" s="2">
        <v>18</v>
      </c>
      <c r="D131">
        <v>17</v>
      </c>
      <c r="E131">
        <v>84.54</v>
      </c>
      <c r="F131" t="s">
        <v>19</v>
      </c>
      <c r="G131" t="s">
        <v>23</v>
      </c>
      <c r="H131" t="s">
        <v>16</v>
      </c>
      <c r="I131">
        <v>73</v>
      </c>
      <c r="J131">
        <v>8.4</v>
      </c>
      <c r="K131">
        <v>60.068556696729203</v>
      </c>
      <c r="L131" t="s">
        <v>24</v>
      </c>
      <c r="M131" t="str">
        <f>IF(Table2[[#This Row],[Final_Exam_Score]]&gt;= 50,"Pass","Fail")</f>
        <v>Pass</v>
      </c>
    </row>
    <row r="132" spans="1:13" x14ac:dyDescent="0.25">
      <c r="A132" t="s">
        <v>154</v>
      </c>
      <c r="B132" t="s">
        <v>18</v>
      </c>
      <c r="C132" s="2">
        <v>18</v>
      </c>
      <c r="D132">
        <v>22</v>
      </c>
      <c r="E132">
        <v>70.489999999999995</v>
      </c>
      <c r="F132" t="s">
        <v>14</v>
      </c>
      <c r="G132" t="s">
        <v>15</v>
      </c>
      <c r="H132" t="s">
        <v>24</v>
      </c>
      <c r="I132">
        <v>87</v>
      </c>
      <c r="J132">
        <v>4.3</v>
      </c>
      <c r="K132">
        <v>58.5788930596093</v>
      </c>
      <c r="L132" t="s">
        <v>16</v>
      </c>
      <c r="M132" t="str">
        <f>IF(Table2[[#This Row],[Final_Exam_Score]]&gt;= 50,"Pass","Fail")</f>
        <v>Pass</v>
      </c>
    </row>
    <row r="133" spans="1:13" x14ac:dyDescent="0.25">
      <c r="A133" t="s">
        <v>155</v>
      </c>
      <c r="B133" t="s">
        <v>13</v>
      </c>
      <c r="C133" s="2">
        <v>17</v>
      </c>
      <c r="D133">
        <v>4</v>
      </c>
      <c r="E133">
        <v>78.69</v>
      </c>
      <c r="F133" t="s">
        <v>32</v>
      </c>
      <c r="G133" t="s">
        <v>26</v>
      </c>
      <c r="H133" t="s">
        <v>24</v>
      </c>
      <c r="I133">
        <v>96</v>
      </c>
      <c r="J133">
        <v>6.3</v>
      </c>
      <c r="K133">
        <v>55.693569861681901</v>
      </c>
      <c r="L133" t="s">
        <v>16</v>
      </c>
      <c r="M133" t="str">
        <f>IF(Table2[[#This Row],[Final_Exam_Score]]&gt;= 50,"Pass","Fail")</f>
        <v>Pass</v>
      </c>
    </row>
    <row r="134" spans="1:13" x14ac:dyDescent="0.25">
      <c r="A134" t="s">
        <v>156</v>
      </c>
      <c r="B134" t="s">
        <v>13</v>
      </c>
      <c r="C134" s="2">
        <v>20</v>
      </c>
      <c r="D134">
        <v>6</v>
      </c>
      <c r="E134">
        <v>90.18</v>
      </c>
      <c r="F134" t="s">
        <v>32</v>
      </c>
      <c r="G134" t="s">
        <v>23</v>
      </c>
      <c r="H134" t="s">
        <v>16</v>
      </c>
      <c r="I134">
        <v>45</v>
      </c>
      <c r="J134">
        <v>8.9</v>
      </c>
      <c r="K134">
        <v>40</v>
      </c>
      <c r="L134" t="s">
        <v>16</v>
      </c>
      <c r="M134" t="str">
        <f>IF(Table2[[#This Row],[Final_Exam_Score]]&gt;= 50,"Pass","Fail")</f>
        <v>Fail</v>
      </c>
    </row>
    <row r="135" spans="1:13" x14ac:dyDescent="0.25">
      <c r="A135" t="s">
        <v>157</v>
      </c>
      <c r="B135" t="s">
        <v>18</v>
      </c>
      <c r="C135" s="2">
        <v>17</v>
      </c>
      <c r="D135">
        <v>18</v>
      </c>
      <c r="E135">
        <v>78.069999999999993</v>
      </c>
      <c r="F135" t="s">
        <v>14</v>
      </c>
      <c r="G135" t="s">
        <v>26</v>
      </c>
      <c r="H135" t="s">
        <v>24</v>
      </c>
      <c r="I135">
        <v>96</v>
      </c>
      <c r="J135">
        <v>4.7</v>
      </c>
      <c r="K135">
        <v>59.6479367475714</v>
      </c>
      <c r="L135" t="s">
        <v>24</v>
      </c>
      <c r="M135" t="str">
        <f>IF(Table2[[#This Row],[Final_Exam_Score]]&gt;= 50,"Pass","Fail")</f>
        <v>Pass</v>
      </c>
    </row>
    <row r="136" spans="1:13" x14ac:dyDescent="0.25">
      <c r="A136" t="s">
        <v>158</v>
      </c>
      <c r="B136" t="s">
        <v>18</v>
      </c>
      <c r="C136" s="2">
        <v>19</v>
      </c>
      <c r="D136">
        <v>18</v>
      </c>
      <c r="E136">
        <v>66.37</v>
      </c>
      <c r="F136" t="s">
        <v>19</v>
      </c>
      <c r="G136" t="s">
        <v>26</v>
      </c>
      <c r="H136" t="s">
        <v>24</v>
      </c>
      <c r="I136">
        <v>69</v>
      </c>
      <c r="J136">
        <v>4.5</v>
      </c>
      <c r="K136">
        <v>40</v>
      </c>
      <c r="L136" t="s">
        <v>16</v>
      </c>
      <c r="M136" t="str">
        <f>IF(Table2[[#This Row],[Final_Exam_Score]]&gt;= 50,"Pass","Fail")</f>
        <v>Fail</v>
      </c>
    </row>
    <row r="137" spans="1:13" x14ac:dyDescent="0.25">
      <c r="A137" t="s">
        <v>159</v>
      </c>
      <c r="B137" t="s">
        <v>13</v>
      </c>
      <c r="C137" s="2">
        <v>21</v>
      </c>
      <c r="D137">
        <v>23</v>
      </c>
      <c r="E137">
        <v>85.44</v>
      </c>
      <c r="F137" t="s">
        <v>22</v>
      </c>
      <c r="G137" t="s">
        <v>15</v>
      </c>
      <c r="H137" t="s">
        <v>16</v>
      </c>
      <c r="I137">
        <v>67</v>
      </c>
      <c r="J137">
        <v>5.7</v>
      </c>
      <c r="K137">
        <v>50.487110035566502</v>
      </c>
      <c r="L137" t="s">
        <v>24</v>
      </c>
      <c r="M137" t="str">
        <f>IF(Table2[[#This Row],[Final_Exam_Score]]&gt;= 50,"Pass","Fail")</f>
        <v>Pass</v>
      </c>
    </row>
    <row r="138" spans="1:13" x14ac:dyDescent="0.25">
      <c r="A138" t="s">
        <v>160</v>
      </c>
      <c r="B138" t="s">
        <v>13</v>
      </c>
      <c r="C138" s="2">
        <v>19</v>
      </c>
      <c r="D138">
        <v>12</v>
      </c>
      <c r="E138">
        <v>90.2</v>
      </c>
      <c r="F138" t="s">
        <v>22</v>
      </c>
      <c r="G138" t="s">
        <v>15</v>
      </c>
      <c r="H138" t="s">
        <v>16</v>
      </c>
      <c r="I138">
        <v>72</v>
      </c>
      <c r="J138">
        <v>4.7</v>
      </c>
      <c r="K138">
        <v>49.473501185516596</v>
      </c>
      <c r="L138" t="s">
        <v>16</v>
      </c>
      <c r="M138" t="str">
        <f>IF(Table2[[#This Row],[Final_Exam_Score]]&gt;= 50,"Pass","Fail")</f>
        <v>Fail</v>
      </c>
    </row>
    <row r="139" spans="1:13" x14ac:dyDescent="0.25">
      <c r="A139" t="s">
        <v>161</v>
      </c>
      <c r="B139" t="s">
        <v>13</v>
      </c>
      <c r="C139" s="2">
        <v>18</v>
      </c>
      <c r="D139">
        <v>11</v>
      </c>
      <c r="E139">
        <v>90.02</v>
      </c>
      <c r="F139" t="s">
        <v>14</v>
      </c>
      <c r="G139" t="s">
        <v>23</v>
      </c>
      <c r="H139" t="s">
        <v>16</v>
      </c>
      <c r="I139">
        <v>55</v>
      </c>
      <c r="J139">
        <v>7.4</v>
      </c>
      <c r="K139">
        <v>45.690764048346097</v>
      </c>
      <c r="L139" t="s">
        <v>16</v>
      </c>
      <c r="M139" t="str">
        <f>IF(Table2[[#This Row],[Final_Exam_Score]]&gt;= 50,"Pass","Fail")</f>
        <v>Fail</v>
      </c>
    </row>
    <row r="140" spans="1:13" x14ac:dyDescent="0.25">
      <c r="A140" t="s">
        <v>162</v>
      </c>
      <c r="B140" t="s">
        <v>18</v>
      </c>
      <c r="C140" s="2">
        <v>17</v>
      </c>
      <c r="D140">
        <v>2</v>
      </c>
      <c r="E140">
        <v>70.77</v>
      </c>
      <c r="F140" t="s">
        <v>28</v>
      </c>
      <c r="G140" t="s">
        <v>23</v>
      </c>
      <c r="H140" t="s">
        <v>24</v>
      </c>
      <c r="I140">
        <v>94</v>
      </c>
      <c r="J140">
        <v>7.1</v>
      </c>
      <c r="K140">
        <v>57.0965235013932</v>
      </c>
      <c r="L140" t="s">
        <v>24</v>
      </c>
      <c r="M140" t="str">
        <f>IF(Table2[[#This Row],[Final_Exam_Score]]&gt;= 50,"Pass","Fail")</f>
        <v>Pass</v>
      </c>
    </row>
    <row r="141" spans="1:13" x14ac:dyDescent="0.25">
      <c r="A141" t="s">
        <v>163</v>
      </c>
      <c r="B141" t="s">
        <v>13</v>
      </c>
      <c r="C141" s="2">
        <v>17</v>
      </c>
      <c r="D141">
        <v>11</v>
      </c>
      <c r="E141">
        <v>76.760000000000005</v>
      </c>
      <c r="F141" t="s">
        <v>19</v>
      </c>
      <c r="G141" t="s">
        <v>26</v>
      </c>
      <c r="H141" t="s">
        <v>16</v>
      </c>
      <c r="I141">
        <v>70</v>
      </c>
      <c r="J141">
        <v>6.6</v>
      </c>
      <c r="K141">
        <v>50.378647112003399</v>
      </c>
      <c r="L141" t="s">
        <v>24</v>
      </c>
      <c r="M141" t="str">
        <f>IF(Table2[[#This Row],[Final_Exam_Score]]&gt;= 50,"Pass","Fail")</f>
        <v>Pass</v>
      </c>
    </row>
    <row r="142" spans="1:13" x14ac:dyDescent="0.25">
      <c r="A142" t="s">
        <v>164</v>
      </c>
      <c r="B142" t="s">
        <v>18</v>
      </c>
      <c r="C142" s="2">
        <v>19</v>
      </c>
      <c r="D142">
        <v>26</v>
      </c>
      <c r="E142">
        <v>79.319999999999993</v>
      </c>
      <c r="F142" t="s">
        <v>19</v>
      </c>
      <c r="G142" t="s">
        <v>15</v>
      </c>
      <c r="H142" t="s">
        <v>24</v>
      </c>
      <c r="I142">
        <v>57</v>
      </c>
      <c r="J142">
        <v>8.9</v>
      </c>
      <c r="K142">
        <v>45.804313848025799</v>
      </c>
      <c r="L142" t="s">
        <v>16</v>
      </c>
      <c r="M142" t="str">
        <f>IF(Table2[[#This Row],[Final_Exam_Score]]&gt;= 50,"Pass","Fail")</f>
        <v>Fail</v>
      </c>
    </row>
    <row r="143" spans="1:13" x14ac:dyDescent="0.25">
      <c r="A143" t="s">
        <v>165</v>
      </c>
      <c r="B143" t="s">
        <v>18</v>
      </c>
      <c r="C143" s="2">
        <v>15</v>
      </c>
      <c r="D143">
        <v>17</v>
      </c>
      <c r="E143">
        <v>79.72</v>
      </c>
      <c r="F143" t="s">
        <v>28</v>
      </c>
      <c r="G143" t="s">
        <v>15</v>
      </c>
      <c r="H143" t="s">
        <v>24</v>
      </c>
      <c r="I143">
        <v>88</v>
      </c>
      <c r="J143">
        <v>5.6</v>
      </c>
      <c r="K143">
        <v>53.656953654852401</v>
      </c>
      <c r="L143" t="s">
        <v>16</v>
      </c>
      <c r="M143" t="str">
        <f>IF(Table2[[#This Row],[Final_Exam_Score]]&gt;= 50,"Pass","Fail")</f>
        <v>Pass</v>
      </c>
    </row>
    <row r="144" spans="1:13" x14ac:dyDescent="0.25">
      <c r="A144" t="s">
        <v>166</v>
      </c>
      <c r="B144" t="s">
        <v>13</v>
      </c>
      <c r="C144" s="2">
        <v>15</v>
      </c>
      <c r="D144">
        <v>24</v>
      </c>
      <c r="E144">
        <v>69</v>
      </c>
      <c r="F144" t="s">
        <v>28</v>
      </c>
      <c r="G144" t="s">
        <v>15</v>
      </c>
      <c r="H144" t="s">
        <v>16</v>
      </c>
      <c r="I144">
        <v>81</v>
      </c>
      <c r="J144">
        <v>6.2</v>
      </c>
      <c r="K144">
        <v>50.263034634979697</v>
      </c>
      <c r="L144" t="s">
        <v>16</v>
      </c>
      <c r="M144" t="str">
        <f>IF(Table2[[#This Row],[Final_Exam_Score]]&gt;= 50,"Pass","Fail")</f>
        <v>Pass</v>
      </c>
    </row>
    <row r="145" spans="1:13" x14ac:dyDescent="0.25">
      <c r="A145" t="s">
        <v>167</v>
      </c>
      <c r="B145" t="s">
        <v>13</v>
      </c>
      <c r="C145" s="2">
        <v>20</v>
      </c>
      <c r="D145">
        <v>28</v>
      </c>
      <c r="E145">
        <v>78.489999999999995</v>
      </c>
      <c r="F145" t="s">
        <v>28</v>
      </c>
      <c r="G145" t="s">
        <v>15</v>
      </c>
      <c r="H145" t="s">
        <v>16</v>
      </c>
      <c r="I145">
        <v>53</v>
      </c>
      <c r="J145">
        <v>6.3</v>
      </c>
      <c r="K145">
        <v>41.389470493278999</v>
      </c>
      <c r="L145" t="s">
        <v>24</v>
      </c>
      <c r="M145" t="str">
        <f>IF(Table2[[#This Row],[Final_Exam_Score]]&gt;= 50,"Pass","Fail")</f>
        <v>Fail</v>
      </c>
    </row>
    <row r="146" spans="1:13" x14ac:dyDescent="0.25">
      <c r="A146" t="s">
        <v>168</v>
      </c>
      <c r="B146" t="s">
        <v>18</v>
      </c>
      <c r="C146" s="2">
        <v>21</v>
      </c>
      <c r="D146">
        <v>7</v>
      </c>
      <c r="E146">
        <v>82.73</v>
      </c>
      <c r="F146" t="s">
        <v>32</v>
      </c>
      <c r="G146" t="s">
        <v>26</v>
      </c>
      <c r="H146" t="s">
        <v>24</v>
      </c>
      <c r="I146">
        <v>97</v>
      </c>
      <c r="J146">
        <v>7.5</v>
      </c>
      <c r="K146">
        <v>54.370675810202997</v>
      </c>
      <c r="L146" t="s">
        <v>24</v>
      </c>
      <c r="M146" t="str">
        <f>IF(Table2[[#This Row],[Final_Exam_Score]]&gt;= 50,"Pass","Fail")</f>
        <v>Pass</v>
      </c>
    </row>
    <row r="147" spans="1:13" x14ac:dyDescent="0.25">
      <c r="A147" t="s">
        <v>169</v>
      </c>
      <c r="B147" t="s">
        <v>13</v>
      </c>
      <c r="C147" s="2">
        <v>15</v>
      </c>
      <c r="D147">
        <v>23</v>
      </c>
      <c r="E147">
        <v>89.87</v>
      </c>
      <c r="F147" t="s">
        <v>14</v>
      </c>
      <c r="G147" t="s">
        <v>23</v>
      </c>
      <c r="H147" t="s">
        <v>16</v>
      </c>
      <c r="I147">
        <v>56</v>
      </c>
      <c r="J147">
        <v>5.0999999999999996</v>
      </c>
      <c r="K147">
        <v>46.658362846051403</v>
      </c>
      <c r="L147" t="s">
        <v>24</v>
      </c>
      <c r="M147" t="str">
        <f>IF(Table2[[#This Row],[Final_Exam_Score]]&gt;= 50,"Pass","Fail")</f>
        <v>Fail</v>
      </c>
    </row>
    <row r="148" spans="1:13" x14ac:dyDescent="0.25">
      <c r="A148" t="s">
        <v>170</v>
      </c>
      <c r="B148" t="s">
        <v>18</v>
      </c>
      <c r="C148" s="2">
        <v>17</v>
      </c>
      <c r="D148">
        <v>21</v>
      </c>
      <c r="E148">
        <v>84.93</v>
      </c>
      <c r="F148" t="s">
        <v>22</v>
      </c>
      <c r="G148" t="s">
        <v>23</v>
      </c>
      <c r="H148" t="s">
        <v>16</v>
      </c>
      <c r="I148">
        <v>96</v>
      </c>
      <c r="J148">
        <v>7.8</v>
      </c>
      <c r="K148">
        <v>55.584739755073002</v>
      </c>
      <c r="L148" t="s">
        <v>24</v>
      </c>
      <c r="M148" t="str">
        <f>IF(Table2[[#This Row],[Final_Exam_Score]]&gt;= 50,"Pass","Fail")</f>
        <v>Pass</v>
      </c>
    </row>
    <row r="149" spans="1:13" x14ac:dyDescent="0.25">
      <c r="A149" t="s">
        <v>171</v>
      </c>
      <c r="B149" t="s">
        <v>18</v>
      </c>
      <c r="C149" s="2">
        <v>15</v>
      </c>
      <c r="D149">
        <v>26</v>
      </c>
      <c r="E149">
        <v>79.17</v>
      </c>
      <c r="F149" t="s">
        <v>32</v>
      </c>
      <c r="G149" t="s">
        <v>23</v>
      </c>
      <c r="H149" t="s">
        <v>16</v>
      </c>
      <c r="I149">
        <v>96</v>
      </c>
      <c r="J149">
        <v>4.9000000000000004</v>
      </c>
      <c r="K149">
        <v>64.250142956814202</v>
      </c>
      <c r="L149" t="s">
        <v>16</v>
      </c>
      <c r="M149" t="str">
        <f>IF(Table2[[#This Row],[Final_Exam_Score]]&gt;= 50,"Pass","Fail")</f>
        <v>Pass</v>
      </c>
    </row>
    <row r="150" spans="1:13" x14ac:dyDescent="0.25">
      <c r="A150" t="s">
        <v>172</v>
      </c>
      <c r="B150" t="s">
        <v>18</v>
      </c>
      <c r="C150" s="2">
        <v>20</v>
      </c>
      <c r="D150">
        <v>14</v>
      </c>
      <c r="E150">
        <v>97.47</v>
      </c>
      <c r="F150" t="s">
        <v>22</v>
      </c>
      <c r="G150" t="s">
        <v>23</v>
      </c>
      <c r="H150" t="s">
        <v>16</v>
      </c>
      <c r="I150">
        <v>69</v>
      </c>
      <c r="J150">
        <v>8.9</v>
      </c>
      <c r="K150">
        <v>50.751463975015398</v>
      </c>
      <c r="L150" t="s">
        <v>16</v>
      </c>
      <c r="M150" t="str">
        <f>IF(Table2[[#This Row],[Final_Exam_Score]]&gt;= 50,"Pass","Fail")</f>
        <v>Pass</v>
      </c>
    </row>
    <row r="151" spans="1:13" x14ac:dyDescent="0.25">
      <c r="A151" t="s">
        <v>173</v>
      </c>
      <c r="B151" t="s">
        <v>18</v>
      </c>
      <c r="C151" s="2">
        <v>21</v>
      </c>
      <c r="D151">
        <v>12</v>
      </c>
      <c r="E151">
        <v>85.93</v>
      </c>
      <c r="F151" t="s">
        <v>19</v>
      </c>
      <c r="G151" t="s">
        <v>26</v>
      </c>
      <c r="H151" t="s">
        <v>24</v>
      </c>
      <c r="I151">
        <v>49</v>
      </c>
      <c r="J151">
        <v>8.8000000000000007</v>
      </c>
      <c r="K151">
        <v>40</v>
      </c>
      <c r="L151" t="s">
        <v>16</v>
      </c>
      <c r="M151" t="str">
        <f>IF(Table2[[#This Row],[Final_Exam_Score]]&gt;= 50,"Pass","Fail")</f>
        <v>Fail</v>
      </c>
    </row>
    <row r="152" spans="1:13" x14ac:dyDescent="0.25">
      <c r="A152" t="s">
        <v>174</v>
      </c>
      <c r="B152" t="s">
        <v>13</v>
      </c>
      <c r="C152" s="2">
        <v>20</v>
      </c>
      <c r="D152">
        <v>17</v>
      </c>
      <c r="E152">
        <v>99.12</v>
      </c>
      <c r="F152" t="s">
        <v>19</v>
      </c>
      <c r="G152" t="s">
        <v>26</v>
      </c>
      <c r="H152" t="s">
        <v>16</v>
      </c>
      <c r="I152">
        <v>49</v>
      </c>
      <c r="J152">
        <v>6</v>
      </c>
      <c r="K152">
        <v>41.323351630455697</v>
      </c>
      <c r="L152" t="s">
        <v>24</v>
      </c>
      <c r="M152" t="str">
        <f>IF(Table2[[#This Row],[Final_Exam_Score]]&gt;= 50,"Pass","Fail")</f>
        <v>Fail</v>
      </c>
    </row>
    <row r="153" spans="1:13" x14ac:dyDescent="0.25">
      <c r="A153" t="s">
        <v>175</v>
      </c>
      <c r="B153" t="s">
        <v>18</v>
      </c>
      <c r="C153" s="2">
        <v>21</v>
      </c>
      <c r="D153">
        <v>19</v>
      </c>
      <c r="E153">
        <v>95.36</v>
      </c>
      <c r="F153" t="s">
        <v>19</v>
      </c>
      <c r="G153" t="s">
        <v>23</v>
      </c>
      <c r="H153" t="s">
        <v>24</v>
      </c>
      <c r="I153">
        <v>75</v>
      </c>
      <c r="J153">
        <v>8.4</v>
      </c>
      <c r="K153">
        <v>58.966550561905699</v>
      </c>
      <c r="L153" t="s">
        <v>24</v>
      </c>
      <c r="M153" t="str">
        <f>IF(Table2[[#This Row],[Final_Exam_Score]]&gt;= 50,"Pass","Fail")</f>
        <v>Pass</v>
      </c>
    </row>
    <row r="154" spans="1:13" x14ac:dyDescent="0.25">
      <c r="A154" t="s">
        <v>176</v>
      </c>
      <c r="B154" t="s">
        <v>13</v>
      </c>
      <c r="C154" s="2">
        <v>15</v>
      </c>
      <c r="D154">
        <v>10</v>
      </c>
      <c r="E154">
        <v>88.58</v>
      </c>
      <c r="F154" t="s">
        <v>32</v>
      </c>
      <c r="G154" t="s">
        <v>26</v>
      </c>
      <c r="H154" t="s">
        <v>16</v>
      </c>
      <c r="I154">
        <v>74</v>
      </c>
      <c r="J154">
        <v>6</v>
      </c>
      <c r="K154">
        <v>54.836766425857803</v>
      </c>
      <c r="L154" t="s">
        <v>24</v>
      </c>
      <c r="M154" t="str">
        <f>IF(Table2[[#This Row],[Final_Exam_Score]]&gt;= 50,"Pass","Fail")</f>
        <v>Pass</v>
      </c>
    </row>
    <row r="155" spans="1:13" x14ac:dyDescent="0.25">
      <c r="A155" t="s">
        <v>177</v>
      </c>
      <c r="B155" t="s">
        <v>18</v>
      </c>
      <c r="C155" s="2">
        <v>19</v>
      </c>
      <c r="D155">
        <v>21</v>
      </c>
      <c r="E155">
        <v>96.48</v>
      </c>
      <c r="F155" t="s">
        <v>19</v>
      </c>
      <c r="G155" t="s">
        <v>23</v>
      </c>
      <c r="H155" t="s">
        <v>24</v>
      </c>
      <c r="I155">
        <v>73</v>
      </c>
      <c r="J155">
        <v>6.7</v>
      </c>
      <c r="K155">
        <v>66.739606398030404</v>
      </c>
      <c r="L155" t="s">
        <v>16</v>
      </c>
      <c r="M155" t="str">
        <f>IF(Table2[[#This Row],[Final_Exam_Score]]&gt;= 50,"Pass","Fail")</f>
        <v>Pass</v>
      </c>
    </row>
    <row r="156" spans="1:13" x14ac:dyDescent="0.25">
      <c r="A156" t="s">
        <v>178</v>
      </c>
      <c r="B156" t="s">
        <v>13</v>
      </c>
      <c r="C156" s="2">
        <v>19</v>
      </c>
      <c r="D156">
        <v>29</v>
      </c>
      <c r="E156">
        <v>99.69</v>
      </c>
      <c r="F156" t="s">
        <v>22</v>
      </c>
      <c r="G156" t="s">
        <v>23</v>
      </c>
      <c r="H156" t="s">
        <v>24</v>
      </c>
      <c r="I156">
        <v>59</v>
      </c>
      <c r="J156">
        <v>7.7</v>
      </c>
      <c r="K156">
        <v>55.073614210009303</v>
      </c>
      <c r="L156" t="s">
        <v>16</v>
      </c>
      <c r="M156" t="str">
        <f>IF(Table2[[#This Row],[Final_Exam_Score]]&gt;= 50,"Pass","Fail")</f>
        <v>Pass</v>
      </c>
    </row>
    <row r="157" spans="1:13" x14ac:dyDescent="0.25">
      <c r="A157" t="s">
        <v>179</v>
      </c>
      <c r="B157" t="s">
        <v>13</v>
      </c>
      <c r="C157" s="2">
        <v>16</v>
      </c>
      <c r="D157">
        <v>29</v>
      </c>
      <c r="E157">
        <v>72.73</v>
      </c>
      <c r="F157" t="s">
        <v>22</v>
      </c>
      <c r="G157" t="s">
        <v>15</v>
      </c>
      <c r="H157" t="s">
        <v>16</v>
      </c>
      <c r="I157">
        <v>81</v>
      </c>
      <c r="J157">
        <v>7.8</v>
      </c>
      <c r="K157">
        <v>52.2679743617852</v>
      </c>
      <c r="L157" t="s">
        <v>16</v>
      </c>
      <c r="M157" t="str">
        <f>IF(Table2[[#This Row],[Final_Exam_Score]]&gt;= 50,"Pass","Fail")</f>
        <v>Pass</v>
      </c>
    </row>
    <row r="158" spans="1:13" x14ac:dyDescent="0.25">
      <c r="A158" t="s">
        <v>180</v>
      </c>
      <c r="B158" t="s">
        <v>18</v>
      </c>
      <c r="C158" s="2">
        <v>15</v>
      </c>
      <c r="D158">
        <v>9</v>
      </c>
      <c r="E158">
        <v>89.19</v>
      </c>
      <c r="F158" t="s">
        <v>28</v>
      </c>
      <c r="G158" t="s">
        <v>15</v>
      </c>
      <c r="H158" t="s">
        <v>24</v>
      </c>
      <c r="I158">
        <v>65</v>
      </c>
      <c r="J158">
        <v>8.4</v>
      </c>
      <c r="K158">
        <v>42.932271092891</v>
      </c>
      <c r="L158" t="s">
        <v>16</v>
      </c>
      <c r="M158" t="str">
        <f>IF(Table2[[#This Row],[Final_Exam_Score]]&gt;= 50,"Pass","Fail")</f>
        <v>Fail</v>
      </c>
    </row>
    <row r="159" spans="1:13" x14ac:dyDescent="0.25">
      <c r="A159" t="s">
        <v>181</v>
      </c>
      <c r="B159" t="s">
        <v>18</v>
      </c>
      <c r="C159" s="2">
        <v>18</v>
      </c>
      <c r="D159">
        <v>26</v>
      </c>
      <c r="E159">
        <v>97.16</v>
      </c>
      <c r="F159" t="s">
        <v>19</v>
      </c>
      <c r="G159" t="s">
        <v>26</v>
      </c>
      <c r="H159" t="s">
        <v>24</v>
      </c>
      <c r="I159">
        <v>87</v>
      </c>
      <c r="J159">
        <v>6.3</v>
      </c>
      <c r="K159">
        <v>63.977761032732701</v>
      </c>
      <c r="L159" t="s">
        <v>16</v>
      </c>
      <c r="M159" t="str">
        <f>IF(Table2[[#This Row],[Final_Exam_Score]]&gt;= 50,"Pass","Fail")</f>
        <v>Pass</v>
      </c>
    </row>
    <row r="160" spans="1:13" x14ac:dyDescent="0.25">
      <c r="A160" t="s">
        <v>182</v>
      </c>
      <c r="B160" t="s">
        <v>13</v>
      </c>
      <c r="C160" s="2">
        <v>15</v>
      </c>
      <c r="D160">
        <v>23</v>
      </c>
      <c r="E160">
        <v>65.61</v>
      </c>
      <c r="F160" t="s">
        <v>22</v>
      </c>
      <c r="G160" t="s">
        <v>15</v>
      </c>
      <c r="H160" t="s">
        <v>24</v>
      </c>
      <c r="I160">
        <v>64</v>
      </c>
      <c r="J160">
        <v>7</v>
      </c>
      <c r="K160">
        <v>49.650183265610103</v>
      </c>
      <c r="L160" t="s">
        <v>16</v>
      </c>
      <c r="M160" t="str">
        <f>IF(Table2[[#This Row],[Final_Exam_Score]]&gt;= 50,"Pass","Fail")</f>
        <v>Fail</v>
      </c>
    </row>
    <row r="161" spans="1:13" x14ac:dyDescent="0.25">
      <c r="A161" t="s">
        <v>183</v>
      </c>
      <c r="B161" t="s">
        <v>18</v>
      </c>
      <c r="C161" s="2">
        <v>15</v>
      </c>
      <c r="D161">
        <v>29</v>
      </c>
      <c r="E161">
        <v>92.98</v>
      </c>
      <c r="F161" t="s">
        <v>19</v>
      </c>
      <c r="G161" t="s">
        <v>15</v>
      </c>
      <c r="H161" t="s">
        <v>24</v>
      </c>
      <c r="I161">
        <v>70</v>
      </c>
      <c r="J161">
        <v>6.8</v>
      </c>
      <c r="K161">
        <v>62.334732681201899</v>
      </c>
      <c r="L161" t="s">
        <v>24</v>
      </c>
      <c r="M161" t="str">
        <f>IF(Table2[[#This Row],[Final_Exam_Score]]&gt;= 50,"Pass","Fail")</f>
        <v>Pass</v>
      </c>
    </row>
    <row r="162" spans="1:13" x14ac:dyDescent="0.25">
      <c r="A162" t="s">
        <v>184</v>
      </c>
      <c r="B162" t="s">
        <v>18</v>
      </c>
      <c r="C162" s="2">
        <v>20</v>
      </c>
      <c r="D162">
        <v>11</v>
      </c>
      <c r="E162">
        <v>68.13</v>
      </c>
      <c r="F162" t="s">
        <v>14</v>
      </c>
      <c r="G162" t="s">
        <v>26</v>
      </c>
      <c r="H162" t="s">
        <v>24</v>
      </c>
      <c r="I162">
        <v>78</v>
      </c>
      <c r="J162">
        <v>6.5</v>
      </c>
      <c r="K162">
        <v>43.754870345507499</v>
      </c>
      <c r="L162" t="s">
        <v>16</v>
      </c>
      <c r="M162" t="str">
        <f>IF(Table2[[#This Row],[Final_Exam_Score]]&gt;= 50,"Pass","Fail")</f>
        <v>Fail</v>
      </c>
    </row>
    <row r="163" spans="1:13" x14ac:dyDescent="0.25">
      <c r="A163" t="s">
        <v>185</v>
      </c>
      <c r="B163" t="s">
        <v>18</v>
      </c>
      <c r="C163" s="2">
        <v>20</v>
      </c>
      <c r="D163">
        <v>3</v>
      </c>
      <c r="E163">
        <v>97.08</v>
      </c>
      <c r="F163" t="s">
        <v>32</v>
      </c>
      <c r="G163" t="s">
        <v>26</v>
      </c>
      <c r="H163" t="s">
        <v>24</v>
      </c>
      <c r="I163">
        <v>47</v>
      </c>
      <c r="J163">
        <v>7.5</v>
      </c>
      <c r="K163">
        <v>40</v>
      </c>
      <c r="L163" t="s">
        <v>16</v>
      </c>
      <c r="M163" t="str">
        <f>IF(Table2[[#This Row],[Final_Exam_Score]]&gt;= 50,"Pass","Fail")</f>
        <v>Fail</v>
      </c>
    </row>
    <row r="164" spans="1:13" x14ac:dyDescent="0.25">
      <c r="A164" t="s">
        <v>186</v>
      </c>
      <c r="B164" t="s">
        <v>13</v>
      </c>
      <c r="C164" s="2">
        <v>21</v>
      </c>
      <c r="D164">
        <v>6</v>
      </c>
      <c r="E164">
        <v>86.42</v>
      </c>
      <c r="F164" t="s">
        <v>14</v>
      </c>
      <c r="G164" t="s">
        <v>23</v>
      </c>
      <c r="H164" t="s">
        <v>24</v>
      </c>
      <c r="I164">
        <v>69</v>
      </c>
      <c r="J164">
        <v>5.3</v>
      </c>
      <c r="K164">
        <v>40.876037421853098</v>
      </c>
      <c r="L164" t="s">
        <v>24</v>
      </c>
      <c r="M164" t="str">
        <f>IF(Table2[[#This Row],[Final_Exam_Score]]&gt;= 50,"Pass","Fail")</f>
        <v>Fail</v>
      </c>
    </row>
    <row r="165" spans="1:13" x14ac:dyDescent="0.25">
      <c r="A165" t="s">
        <v>187</v>
      </c>
      <c r="B165" t="s">
        <v>18</v>
      </c>
      <c r="C165" s="2">
        <v>21</v>
      </c>
      <c r="D165">
        <v>11</v>
      </c>
      <c r="E165">
        <v>70.67</v>
      </c>
      <c r="F165" t="s">
        <v>28</v>
      </c>
      <c r="G165" t="s">
        <v>23</v>
      </c>
      <c r="H165" t="s">
        <v>16</v>
      </c>
      <c r="I165">
        <v>45</v>
      </c>
      <c r="J165">
        <v>4.3</v>
      </c>
      <c r="K165">
        <v>40</v>
      </c>
      <c r="L165" t="s">
        <v>24</v>
      </c>
      <c r="M165" t="str">
        <f>IF(Table2[[#This Row],[Final_Exam_Score]]&gt;= 50,"Pass","Fail")</f>
        <v>Fail</v>
      </c>
    </row>
    <row r="166" spans="1:13" x14ac:dyDescent="0.25">
      <c r="A166" t="s">
        <v>188</v>
      </c>
      <c r="B166" t="s">
        <v>18</v>
      </c>
      <c r="C166" s="2">
        <v>15</v>
      </c>
      <c r="D166">
        <v>29</v>
      </c>
      <c r="E166">
        <v>66.38</v>
      </c>
      <c r="F166" t="s">
        <v>14</v>
      </c>
      <c r="G166" t="s">
        <v>26</v>
      </c>
      <c r="H166" t="s">
        <v>16</v>
      </c>
      <c r="I166">
        <v>82</v>
      </c>
      <c r="J166">
        <v>6.6</v>
      </c>
      <c r="K166">
        <v>49.709010536253501</v>
      </c>
      <c r="L166" t="s">
        <v>16</v>
      </c>
      <c r="M166" t="str">
        <f>IF(Table2[[#This Row],[Final_Exam_Score]]&gt;= 50,"Pass","Fail")</f>
        <v>Fail</v>
      </c>
    </row>
    <row r="167" spans="1:13" x14ac:dyDescent="0.25">
      <c r="A167" t="s">
        <v>189</v>
      </c>
      <c r="B167" t="s">
        <v>18</v>
      </c>
      <c r="C167" s="2">
        <v>15</v>
      </c>
      <c r="D167">
        <v>21</v>
      </c>
      <c r="E167">
        <v>93.97</v>
      </c>
      <c r="F167" t="s">
        <v>19</v>
      </c>
      <c r="G167" t="s">
        <v>26</v>
      </c>
      <c r="H167" t="s">
        <v>24</v>
      </c>
      <c r="I167">
        <v>59</v>
      </c>
      <c r="J167">
        <v>6.1</v>
      </c>
      <c r="K167">
        <v>55.9703717900816</v>
      </c>
      <c r="L167" t="s">
        <v>24</v>
      </c>
      <c r="M167" t="str">
        <f>IF(Table2[[#This Row],[Final_Exam_Score]]&gt;= 50,"Pass","Fail")</f>
        <v>Pass</v>
      </c>
    </row>
    <row r="168" spans="1:13" x14ac:dyDescent="0.25">
      <c r="A168" t="s">
        <v>190</v>
      </c>
      <c r="B168" t="s">
        <v>18</v>
      </c>
      <c r="C168" s="2">
        <v>19</v>
      </c>
      <c r="D168">
        <v>6</v>
      </c>
      <c r="E168">
        <v>69.88</v>
      </c>
      <c r="F168" t="s">
        <v>22</v>
      </c>
      <c r="G168" t="s">
        <v>23</v>
      </c>
      <c r="H168" t="s">
        <v>16</v>
      </c>
      <c r="I168">
        <v>63</v>
      </c>
      <c r="J168">
        <v>6.6</v>
      </c>
      <c r="K168">
        <v>40</v>
      </c>
      <c r="L168" t="s">
        <v>16</v>
      </c>
      <c r="M168" t="str">
        <f>IF(Table2[[#This Row],[Final_Exam_Score]]&gt;= 50,"Pass","Fail")</f>
        <v>Fail</v>
      </c>
    </row>
    <row r="169" spans="1:13" x14ac:dyDescent="0.25">
      <c r="A169" t="s">
        <v>191</v>
      </c>
      <c r="B169" t="s">
        <v>13</v>
      </c>
      <c r="C169" s="2">
        <v>19</v>
      </c>
      <c r="D169">
        <v>28</v>
      </c>
      <c r="E169">
        <v>97.88</v>
      </c>
      <c r="F169" t="s">
        <v>32</v>
      </c>
      <c r="G169" t="s">
        <v>26</v>
      </c>
      <c r="H169" t="s">
        <v>24</v>
      </c>
      <c r="I169">
        <v>88</v>
      </c>
      <c r="J169">
        <v>7.1</v>
      </c>
      <c r="K169">
        <v>66.221668308212003</v>
      </c>
      <c r="L169" t="s">
        <v>16</v>
      </c>
      <c r="M169" t="str">
        <f>IF(Table2[[#This Row],[Final_Exam_Score]]&gt;= 50,"Pass","Fail")</f>
        <v>Pass</v>
      </c>
    </row>
    <row r="170" spans="1:13" x14ac:dyDescent="0.25">
      <c r="A170" t="s">
        <v>192</v>
      </c>
      <c r="B170" t="s">
        <v>13</v>
      </c>
      <c r="C170" s="2">
        <v>15</v>
      </c>
      <c r="D170">
        <v>6</v>
      </c>
      <c r="E170">
        <v>68.180000000000007</v>
      </c>
      <c r="F170" t="s">
        <v>28</v>
      </c>
      <c r="G170" t="s">
        <v>26</v>
      </c>
      <c r="H170" t="s">
        <v>24</v>
      </c>
      <c r="I170">
        <v>76</v>
      </c>
      <c r="J170">
        <v>5.8</v>
      </c>
      <c r="K170">
        <v>46.591645529742102</v>
      </c>
      <c r="L170" t="s">
        <v>24</v>
      </c>
      <c r="M170" t="str">
        <f>IF(Table2[[#This Row],[Final_Exam_Score]]&gt;= 50,"Pass","Fail")</f>
        <v>Fail</v>
      </c>
    </row>
    <row r="171" spans="1:13" x14ac:dyDescent="0.25">
      <c r="A171" t="s">
        <v>193</v>
      </c>
      <c r="B171" t="s">
        <v>18</v>
      </c>
      <c r="C171" s="2">
        <v>16</v>
      </c>
      <c r="D171">
        <v>6</v>
      </c>
      <c r="E171">
        <v>94.33</v>
      </c>
      <c r="F171" t="s">
        <v>28</v>
      </c>
      <c r="G171" t="s">
        <v>15</v>
      </c>
      <c r="H171" t="s">
        <v>24</v>
      </c>
      <c r="I171">
        <v>45</v>
      </c>
      <c r="J171">
        <v>5.5</v>
      </c>
      <c r="K171">
        <v>40</v>
      </c>
      <c r="L171" t="s">
        <v>16</v>
      </c>
      <c r="M171" t="str">
        <f>IF(Table2[[#This Row],[Final_Exam_Score]]&gt;= 50,"Pass","Fail")</f>
        <v>Fail</v>
      </c>
    </row>
    <row r="172" spans="1:13" x14ac:dyDescent="0.25">
      <c r="A172" t="s">
        <v>194</v>
      </c>
      <c r="B172" t="s">
        <v>18</v>
      </c>
      <c r="C172" s="2">
        <v>16</v>
      </c>
      <c r="D172">
        <v>2</v>
      </c>
      <c r="E172">
        <v>79.819999999999993</v>
      </c>
      <c r="F172" t="s">
        <v>32</v>
      </c>
      <c r="G172" t="s">
        <v>26</v>
      </c>
      <c r="H172" t="s">
        <v>16</v>
      </c>
      <c r="I172">
        <v>72</v>
      </c>
      <c r="J172">
        <v>7.4</v>
      </c>
      <c r="K172">
        <v>40</v>
      </c>
      <c r="L172" t="s">
        <v>24</v>
      </c>
      <c r="M172" t="str">
        <f>IF(Table2[[#This Row],[Final_Exam_Score]]&gt;= 50,"Pass","Fail")</f>
        <v>Fail</v>
      </c>
    </row>
    <row r="173" spans="1:13" x14ac:dyDescent="0.25">
      <c r="A173" t="s">
        <v>195</v>
      </c>
      <c r="B173" t="s">
        <v>13</v>
      </c>
      <c r="C173" s="2">
        <v>15</v>
      </c>
      <c r="D173">
        <v>17</v>
      </c>
      <c r="E173">
        <v>95.55</v>
      </c>
      <c r="F173" t="s">
        <v>22</v>
      </c>
      <c r="G173" t="s">
        <v>23</v>
      </c>
      <c r="H173" t="s">
        <v>16</v>
      </c>
      <c r="I173">
        <v>97</v>
      </c>
      <c r="J173">
        <v>6</v>
      </c>
      <c r="K173">
        <v>62.554485436535401</v>
      </c>
      <c r="L173" t="s">
        <v>16</v>
      </c>
      <c r="M173" t="str">
        <f>IF(Table2[[#This Row],[Final_Exam_Score]]&gt;= 50,"Pass","Fail")</f>
        <v>Pass</v>
      </c>
    </row>
    <row r="174" spans="1:13" x14ac:dyDescent="0.25">
      <c r="A174" t="s">
        <v>196</v>
      </c>
      <c r="B174" t="s">
        <v>13</v>
      </c>
      <c r="C174" s="2">
        <v>18</v>
      </c>
      <c r="D174">
        <v>18</v>
      </c>
      <c r="E174">
        <v>91.9</v>
      </c>
      <c r="F174" t="s">
        <v>28</v>
      </c>
      <c r="G174" t="s">
        <v>26</v>
      </c>
      <c r="H174" t="s">
        <v>24</v>
      </c>
      <c r="I174">
        <v>63</v>
      </c>
      <c r="J174">
        <v>8.1999999999999993</v>
      </c>
      <c r="K174">
        <v>44.082245607836803</v>
      </c>
      <c r="L174" t="s">
        <v>16</v>
      </c>
      <c r="M174" t="str">
        <f>IF(Table2[[#This Row],[Final_Exam_Score]]&gt;= 50,"Pass","Fail")</f>
        <v>Fail</v>
      </c>
    </row>
    <row r="175" spans="1:13" x14ac:dyDescent="0.25">
      <c r="A175" t="s">
        <v>197</v>
      </c>
      <c r="B175" t="s">
        <v>18</v>
      </c>
      <c r="C175" s="2">
        <v>21</v>
      </c>
      <c r="D175">
        <v>12</v>
      </c>
      <c r="E175">
        <v>94.85</v>
      </c>
      <c r="F175" t="s">
        <v>22</v>
      </c>
      <c r="G175" t="s">
        <v>23</v>
      </c>
      <c r="H175" t="s">
        <v>24</v>
      </c>
      <c r="I175">
        <v>86</v>
      </c>
      <c r="J175">
        <v>7.8</v>
      </c>
      <c r="K175">
        <v>54.0449996134939</v>
      </c>
      <c r="L175" t="s">
        <v>24</v>
      </c>
      <c r="M175" t="str">
        <f>IF(Table2[[#This Row],[Final_Exam_Score]]&gt;= 50,"Pass","Fail")</f>
        <v>Pass</v>
      </c>
    </row>
    <row r="176" spans="1:13" x14ac:dyDescent="0.25">
      <c r="A176" t="s">
        <v>198</v>
      </c>
      <c r="B176" t="s">
        <v>13</v>
      </c>
      <c r="C176" s="2">
        <v>20</v>
      </c>
      <c r="D176">
        <v>24</v>
      </c>
      <c r="E176">
        <v>81.459999999999994</v>
      </c>
      <c r="F176" t="s">
        <v>28</v>
      </c>
      <c r="G176" t="s">
        <v>15</v>
      </c>
      <c r="H176" t="s">
        <v>24</v>
      </c>
      <c r="I176">
        <v>50</v>
      </c>
      <c r="J176">
        <v>8.5</v>
      </c>
      <c r="K176">
        <v>45.935604894719702</v>
      </c>
      <c r="L176" t="s">
        <v>24</v>
      </c>
      <c r="M176" t="str">
        <f>IF(Table2[[#This Row],[Final_Exam_Score]]&gt;= 50,"Pass","Fail")</f>
        <v>Fail</v>
      </c>
    </row>
    <row r="177" spans="1:13" x14ac:dyDescent="0.25">
      <c r="A177" t="s">
        <v>199</v>
      </c>
      <c r="B177" t="s">
        <v>13</v>
      </c>
      <c r="C177" s="2">
        <v>20</v>
      </c>
      <c r="D177">
        <v>17</v>
      </c>
      <c r="E177">
        <v>89.98</v>
      </c>
      <c r="F177" t="s">
        <v>22</v>
      </c>
      <c r="G177" t="s">
        <v>15</v>
      </c>
      <c r="H177" t="s">
        <v>16</v>
      </c>
      <c r="I177">
        <v>47</v>
      </c>
      <c r="J177">
        <v>4.5</v>
      </c>
      <c r="K177">
        <v>55.483143664341398</v>
      </c>
      <c r="L177" t="s">
        <v>16</v>
      </c>
      <c r="M177" t="str">
        <f>IF(Table2[[#This Row],[Final_Exam_Score]]&gt;= 50,"Pass","Fail")</f>
        <v>Pass</v>
      </c>
    </row>
    <row r="178" spans="1:13" x14ac:dyDescent="0.25">
      <c r="A178" t="s">
        <v>200</v>
      </c>
      <c r="B178" t="s">
        <v>13</v>
      </c>
      <c r="C178" s="2">
        <v>19</v>
      </c>
      <c r="D178">
        <v>14</v>
      </c>
      <c r="E178">
        <v>76.150000000000006</v>
      </c>
      <c r="F178" t="s">
        <v>19</v>
      </c>
      <c r="G178" t="s">
        <v>26</v>
      </c>
      <c r="H178" t="s">
        <v>24</v>
      </c>
      <c r="I178">
        <v>73</v>
      </c>
      <c r="J178">
        <v>4.8</v>
      </c>
      <c r="K178">
        <v>58.121029820901299</v>
      </c>
      <c r="L178" t="s">
        <v>16</v>
      </c>
      <c r="M178" t="str">
        <f>IF(Table2[[#This Row],[Final_Exam_Score]]&gt;= 50,"Pass","Fail")</f>
        <v>Pass</v>
      </c>
    </row>
    <row r="179" spans="1:13" x14ac:dyDescent="0.25">
      <c r="A179" t="s">
        <v>201</v>
      </c>
      <c r="B179" t="s">
        <v>18</v>
      </c>
      <c r="C179" s="2">
        <v>20</v>
      </c>
      <c r="D179">
        <v>10</v>
      </c>
      <c r="E179">
        <v>66.650000000000006</v>
      </c>
      <c r="F179" t="s">
        <v>28</v>
      </c>
      <c r="G179" t="s">
        <v>23</v>
      </c>
      <c r="H179" t="s">
        <v>16</v>
      </c>
      <c r="I179">
        <v>85</v>
      </c>
      <c r="J179">
        <v>7</v>
      </c>
      <c r="K179">
        <v>52.913180995371803</v>
      </c>
      <c r="L179" t="s">
        <v>24</v>
      </c>
      <c r="M179" t="str">
        <f>IF(Table2[[#This Row],[Final_Exam_Score]]&gt;= 50,"Pass","Fail")</f>
        <v>Pass</v>
      </c>
    </row>
    <row r="180" spans="1:13" x14ac:dyDescent="0.25">
      <c r="A180" t="s">
        <v>202</v>
      </c>
      <c r="B180" t="s">
        <v>13</v>
      </c>
      <c r="C180" s="2">
        <v>21</v>
      </c>
      <c r="D180">
        <v>6</v>
      </c>
      <c r="E180">
        <v>73.13</v>
      </c>
      <c r="F180" t="s">
        <v>14</v>
      </c>
      <c r="G180" t="s">
        <v>26</v>
      </c>
      <c r="H180" t="s">
        <v>24</v>
      </c>
      <c r="I180">
        <v>49</v>
      </c>
      <c r="J180">
        <v>7.5</v>
      </c>
      <c r="K180">
        <v>40</v>
      </c>
      <c r="L180" t="s">
        <v>24</v>
      </c>
      <c r="M180" t="str">
        <f>IF(Table2[[#This Row],[Final_Exam_Score]]&gt;= 50,"Pass","Fail")</f>
        <v>Fail</v>
      </c>
    </row>
    <row r="181" spans="1:13" x14ac:dyDescent="0.25">
      <c r="A181" t="s">
        <v>203</v>
      </c>
      <c r="B181" t="s">
        <v>18</v>
      </c>
      <c r="C181" s="2">
        <v>17</v>
      </c>
      <c r="D181">
        <v>28</v>
      </c>
      <c r="E181">
        <v>65.05</v>
      </c>
      <c r="F181" t="s">
        <v>28</v>
      </c>
      <c r="G181" t="s">
        <v>23</v>
      </c>
      <c r="H181" t="s">
        <v>24</v>
      </c>
      <c r="I181">
        <v>57</v>
      </c>
      <c r="J181">
        <v>5.0999999999999996</v>
      </c>
      <c r="K181">
        <v>42.455830445516597</v>
      </c>
      <c r="L181" t="s">
        <v>24</v>
      </c>
      <c r="M181" t="str">
        <f>IF(Table2[[#This Row],[Final_Exam_Score]]&gt;= 50,"Pass","Fail")</f>
        <v>Fail</v>
      </c>
    </row>
    <row r="182" spans="1:13" x14ac:dyDescent="0.25">
      <c r="A182" t="s">
        <v>204</v>
      </c>
      <c r="B182" t="s">
        <v>18</v>
      </c>
      <c r="C182" s="2">
        <v>18</v>
      </c>
      <c r="D182">
        <v>26</v>
      </c>
      <c r="E182">
        <v>77.709999999999994</v>
      </c>
      <c r="F182" t="s">
        <v>22</v>
      </c>
      <c r="G182" t="s">
        <v>26</v>
      </c>
      <c r="H182" t="s">
        <v>24</v>
      </c>
      <c r="I182">
        <v>88</v>
      </c>
      <c r="J182">
        <v>4.0999999999999996</v>
      </c>
      <c r="K182">
        <v>53.536824421483502</v>
      </c>
      <c r="L182" t="s">
        <v>24</v>
      </c>
      <c r="M182" t="str">
        <f>IF(Table2[[#This Row],[Final_Exam_Score]]&gt;= 50,"Pass","Fail")</f>
        <v>Pass</v>
      </c>
    </row>
    <row r="183" spans="1:13" x14ac:dyDescent="0.25">
      <c r="A183" t="s">
        <v>205</v>
      </c>
      <c r="B183" t="s">
        <v>13</v>
      </c>
      <c r="C183" s="2">
        <v>21</v>
      </c>
      <c r="D183">
        <v>18</v>
      </c>
      <c r="E183">
        <v>82.28</v>
      </c>
      <c r="F183" t="s">
        <v>32</v>
      </c>
      <c r="G183" t="s">
        <v>15</v>
      </c>
      <c r="H183" t="s">
        <v>24</v>
      </c>
      <c r="I183">
        <v>56</v>
      </c>
      <c r="J183">
        <v>8.3000000000000007</v>
      </c>
      <c r="K183">
        <v>46.470873718837602</v>
      </c>
      <c r="L183" t="s">
        <v>16</v>
      </c>
      <c r="M183" t="str">
        <f>IF(Table2[[#This Row],[Final_Exam_Score]]&gt;= 50,"Pass","Fail")</f>
        <v>Fail</v>
      </c>
    </row>
    <row r="184" spans="1:13" x14ac:dyDescent="0.25">
      <c r="A184" t="s">
        <v>206</v>
      </c>
      <c r="B184" t="s">
        <v>13</v>
      </c>
      <c r="C184" s="2">
        <v>20</v>
      </c>
      <c r="D184">
        <v>17</v>
      </c>
      <c r="E184">
        <v>65.680000000000007</v>
      </c>
      <c r="F184" t="s">
        <v>32</v>
      </c>
      <c r="G184" t="s">
        <v>26</v>
      </c>
      <c r="H184" t="s">
        <v>24</v>
      </c>
      <c r="I184">
        <v>86</v>
      </c>
      <c r="J184">
        <v>7.9</v>
      </c>
      <c r="K184">
        <v>50.413758915555803</v>
      </c>
      <c r="L184" t="s">
        <v>24</v>
      </c>
      <c r="M184" t="str">
        <f>IF(Table2[[#This Row],[Final_Exam_Score]]&gt;= 50,"Pass","Fail")</f>
        <v>Pass</v>
      </c>
    </row>
    <row r="185" spans="1:13" x14ac:dyDescent="0.25">
      <c r="A185" t="s">
        <v>207</v>
      </c>
      <c r="B185" t="s">
        <v>13</v>
      </c>
      <c r="C185" s="2">
        <v>20</v>
      </c>
      <c r="D185">
        <v>19</v>
      </c>
      <c r="E185">
        <v>65.27</v>
      </c>
      <c r="F185" t="s">
        <v>22</v>
      </c>
      <c r="G185" t="s">
        <v>23</v>
      </c>
      <c r="H185" t="s">
        <v>24</v>
      </c>
      <c r="I185">
        <v>69</v>
      </c>
      <c r="J185">
        <v>8.6</v>
      </c>
      <c r="K185">
        <v>55.135028993901699</v>
      </c>
      <c r="L185" t="s">
        <v>24</v>
      </c>
      <c r="M185" t="str">
        <f>IF(Table2[[#This Row],[Final_Exam_Score]]&gt;= 50,"Pass","Fail")</f>
        <v>Pass</v>
      </c>
    </row>
    <row r="186" spans="1:13" x14ac:dyDescent="0.25">
      <c r="A186" t="s">
        <v>208</v>
      </c>
      <c r="B186" t="s">
        <v>18</v>
      </c>
      <c r="C186" s="2">
        <v>19</v>
      </c>
      <c r="D186">
        <v>15</v>
      </c>
      <c r="E186">
        <v>89.03</v>
      </c>
      <c r="F186" t="s">
        <v>19</v>
      </c>
      <c r="G186" t="s">
        <v>26</v>
      </c>
      <c r="H186" t="s">
        <v>24</v>
      </c>
      <c r="I186">
        <v>50</v>
      </c>
      <c r="J186">
        <v>5.4</v>
      </c>
      <c r="K186">
        <v>53.0379227595554</v>
      </c>
      <c r="L186" t="s">
        <v>24</v>
      </c>
      <c r="M186" t="str">
        <f>IF(Table2[[#This Row],[Final_Exam_Score]]&gt;= 50,"Pass","Fail")</f>
        <v>Pass</v>
      </c>
    </row>
    <row r="187" spans="1:13" x14ac:dyDescent="0.25">
      <c r="A187" t="s">
        <v>209</v>
      </c>
      <c r="B187" t="s">
        <v>13</v>
      </c>
      <c r="C187" s="2">
        <v>17</v>
      </c>
      <c r="D187">
        <v>29</v>
      </c>
      <c r="E187">
        <v>68.52</v>
      </c>
      <c r="F187" t="s">
        <v>14</v>
      </c>
      <c r="G187" t="s">
        <v>23</v>
      </c>
      <c r="H187" t="s">
        <v>24</v>
      </c>
      <c r="I187">
        <v>92</v>
      </c>
      <c r="J187">
        <v>6.5</v>
      </c>
      <c r="K187">
        <v>69.906103885831001</v>
      </c>
      <c r="L187" t="s">
        <v>16</v>
      </c>
      <c r="M187" t="str">
        <f>IF(Table2[[#This Row],[Final_Exam_Score]]&gt;= 50,"Pass","Fail")</f>
        <v>Pass</v>
      </c>
    </row>
    <row r="188" spans="1:13" x14ac:dyDescent="0.25">
      <c r="A188" t="s">
        <v>210</v>
      </c>
      <c r="B188" t="s">
        <v>13</v>
      </c>
      <c r="C188" s="2">
        <v>20</v>
      </c>
      <c r="D188">
        <v>17</v>
      </c>
      <c r="E188">
        <v>67.58</v>
      </c>
      <c r="F188" t="s">
        <v>28</v>
      </c>
      <c r="G188" t="s">
        <v>26</v>
      </c>
      <c r="H188" t="s">
        <v>16</v>
      </c>
      <c r="I188">
        <v>58</v>
      </c>
      <c r="J188">
        <v>7.6</v>
      </c>
      <c r="K188">
        <v>40</v>
      </c>
      <c r="L188" t="s">
        <v>16</v>
      </c>
      <c r="M188" t="str">
        <f>IF(Table2[[#This Row],[Final_Exam_Score]]&gt;= 50,"Pass","Fail")</f>
        <v>Fail</v>
      </c>
    </row>
    <row r="189" spans="1:13" x14ac:dyDescent="0.25">
      <c r="A189" t="s">
        <v>211</v>
      </c>
      <c r="B189" t="s">
        <v>18</v>
      </c>
      <c r="C189" s="2">
        <v>21</v>
      </c>
      <c r="D189">
        <v>25</v>
      </c>
      <c r="E189">
        <v>82.35</v>
      </c>
      <c r="F189" t="s">
        <v>28</v>
      </c>
      <c r="G189" t="s">
        <v>26</v>
      </c>
      <c r="H189" t="s">
        <v>16</v>
      </c>
      <c r="I189">
        <v>70</v>
      </c>
      <c r="J189">
        <v>7.1</v>
      </c>
      <c r="K189">
        <v>49.433663093256499</v>
      </c>
      <c r="L189" t="s">
        <v>24</v>
      </c>
      <c r="M189" t="str">
        <f>IF(Table2[[#This Row],[Final_Exam_Score]]&gt;= 50,"Pass","Fail")</f>
        <v>Fail</v>
      </c>
    </row>
    <row r="190" spans="1:13" x14ac:dyDescent="0.25">
      <c r="A190" t="s">
        <v>212</v>
      </c>
      <c r="B190" t="s">
        <v>13</v>
      </c>
      <c r="C190" s="2">
        <v>20</v>
      </c>
      <c r="D190">
        <v>8</v>
      </c>
      <c r="E190">
        <v>90.14</v>
      </c>
      <c r="F190" t="s">
        <v>22</v>
      </c>
      <c r="G190" t="s">
        <v>23</v>
      </c>
      <c r="H190" t="s">
        <v>16</v>
      </c>
      <c r="I190">
        <v>94</v>
      </c>
      <c r="J190">
        <v>4.0999999999999996</v>
      </c>
      <c r="K190">
        <v>51.973405566182599</v>
      </c>
      <c r="L190" t="s">
        <v>24</v>
      </c>
      <c r="M190" t="str">
        <f>IF(Table2[[#This Row],[Final_Exam_Score]]&gt;= 50,"Pass","Fail")</f>
        <v>Pass</v>
      </c>
    </row>
    <row r="191" spans="1:13" x14ac:dyDescent="0.25">
      <c r="A191" t="s">
        <v>213</v>
      </c>
      <c r="B191" t="s">
        <v>13</v>
      </c>
      <c r="C191" s="2">
        <v>16</v>
      </c>
      <c r="D191">
        <v>4</v>
      </c>
      <c r="E191">
        <v>99.2</v>
      </c>
      <c r="F191" t="s">
        <v>28</v>
      </c>
      <c r="G191" t="s">
        <v>15</v>
      </c>
      <c r="H191" t="s">
        <v>24</v>
      </c>
      <c r="I191">
        <v>72</v>
      </c>
      <c r="J191">
        <v>6.5</v>
      </c>
      <c r="K191">
        <v>53.081990375940499</v>
      </c>
      <c r="L191" t="s">
        <v>24</v>
      </c>
      <c r="M191" t="str">
        <f>IF(Table2[[#This Row],[Final_Exam_Score]]&gt;= 50,"Pass","Fail")</f>
        <v>Pass</v>
      </c>
    </row>
    <row r="192" spans="1:13" x14ac:dyDescent="0.25">
      <c r="A192" t="s">
        <v>214</v>
      </c>
      <c r="B192" t="s">
        <v>18</v>
      </c>
      <c r="C192" s="2">
        <v>20</v>
      </c>
      <c r="D192">
        <v>14</v>
      </c>
      <c r="E192">
        <v>75.34</v>
      </c>
      <c r="F192" t="s">
        <v>22</v>
      </c>
      <c r="G192" t="s">
        <v>15</v>
      </c>
      <c r="H192" t="s">
        <v>16</v>
      </c>
      <c r="I192">
        <v>66</v>
      </c>
      <c r="J192">
        <v>8.9</v>
      </c>
      <c r="K192">
        <v>41.3938216709182</v>
      </c>
      <c r="L192" t="s">
        <v>16</v>
      </c>
      <c r="M192" t="str">
        <f>IF(Table2[[#This Row],[Final_Exam_Score]]&gt;= 50,"Pass","Fail")</f>
        <v>Fail</v>
      </c>
    </row>
    <row r="193" spans="1:13" x14ac:dyDescent="0.25">
      <c r="A193" t="s">
        <v>215</v>
      </c>
      <c r="B193" t="s">
        <v>13</v>
      </c>
      <c r="C193" s="2">
        <v>20</v>
      </c>
      <c r="D193">
        <v>8</v>
      </c>
      <c r="E193">
        <v>69.11</v>
      </c>
      <c r="F193" t="s">
        <v>22</v>
      </c>
      <c r="G193" t="s">
        <v>15</v>
      </c>
      <c r="H193" t="s">
        <v>24</v>
      </c>
      <c r="I193">
        <v>86</v>
      </c>
      <c r="J193">
        <v>5.2</v>
      </c>
      <c r="K193">
        <v>47.603133163983898</v>
      </c>
      <c r="L193" t="s">
        <v>24</v>
      </c>
      <c r="M193" t="str">
        <f>IF(Table2[[#This Row],[Final_Exam_Score]]&gt;= 50,"Pass","Fail")</f>
        <v>Fail</v>
      </c>
    </row>
    <row r="194" spans="1:13" x14ac:dyDescent="0.25">
      <c r="A194" t="s">
        <v>216</v>
      </c>
      <c r="B194" t="s">
        <v>13</v>
      </c>
      <c r="C194" s="2">
        <v>16</v>
      </c>
      <c r="D194">
        <v>22</v>
      </c>
      <c r="E194">
        <v>67.400000000000006</v>
      </c>
      <c r="F194" t="s">
        <v>22</v>
      </c>
      <c r="G194" t="s">
        <v>26</v>
      </c>
      <c r="H194" t="s">
        <v>16</v>
      </c>
      <c r="I194">
        <v>54</v>
      </c>
      <c r="J194">
        <v>6.3</v>
      </c>
      <c r="K194">
        <v>40</v>
      </c>
      <c r="L194" t="s">
        <v>16</v>
      </c>
      <c r="M194" t="str">
        <f>IF(Table2[[#This Row],[Final_Exam_Score]]&gt;= 50,"Pass","Fail")</f>
        <v>Fail</v>
      </c>
    </row>
    <row r="195" spans="1:13" x14ac:dyDescent="0.25">
      <c r="A195" t="s">
        <v>217</v>
      </c>
      <c r="B195" t="s">
        <v>18</v>
      </c>
      <c r="C195" s="2">
        <v>19</v>
      </c>
      <c r="D195">
        <v>20</v>
      </c>
      <c r="E195">
        <v>72.260000000000005</v>
      </c>
      <c r="F195" t="s">
        <v>32</v>
      </c>
      <c r="G195" t="s">
        <v>23</v>
      </c>
      <c r="H195" t="s">
        <v>16</v>
      </c>
      <c r="I195">
        <v>90</v>
      </c>
      <c r="J195">
        <v>8</v>
      </c>
      <c r="K195">
        <v>53.667832802137703</v>
      </c>
      <c r="L195" t="s">
        <v>16</v>
      </c>
      <c r="M195" t="str">
        <f>IF(Table2[[#This Row],[Final_Exam_Score]]&gt;= 50,"Pass","Fail")</f>
        <v>Pass</v>
      </c>
    </row>
    <row r="196" spans="1:13" x14ac:dyDescent="0.25">
      <c r="A196" t="s">
        <v>218</v>
      </c>
      <c r="B196" t="s">
        <v>13</v>
      </c>
      <c r="C196" s="2">
        <v>21</v>
      </c>
      <c r="D196">
        <v>17</v>
      </c>
      <c r="E196">
        <v>68.5</v>
      </c>
      <c r="F196" t="s">
        <v>28</v>
      </c>
      <c r="G196" t="s">
        <v>26</v>
      </c>
      <c r="H196" t="s">
        <v>16</v>
      </c>
      <c r="I196">
        <v>72</v>
      </c>
      <c r="J196">
        <v>5.3</v>
      </c>
      <c r="K196">
        <v>55.868629460027599</v>
      </c>
      <c r="L196" t="s">
        <v>16</v>
      </c>
      <c r="M196" t="str">
        <f>IF(Table2[[#This Row],[Final_Exam_Score]]&gt;= 50,"Pass","Fail")</f>
        <v>Pass</v>
      </c>
    </row>
    <row r="197" spans="1:13" x14ac:dyDescent="0.25">
      <c r="A197" t="s">
        <v>219</v>
      </c>
      <c r="B197" t="s">
        <v>13</v>
      </c>
      <c r="C197" s="2">
        <v>19</v>
      </c>
      <c r="D197">
        <v>29</v>
      </c>
      <c r="E197">
        <v>65.12</v>
      </c>
      <c r="F197" t="s">
        <v>32</v>
      </c>
      <c r="G197" t="s">
        <v>23</v>
      </c>
      <c r="H197" t="s">
        <v>24</v>
      </c>
      <c r="I197">
        <v>65</v>
      </c>
      <c r="J197">
        <v>6</v>
      </c>
      <c r="K197">
        <v>40</v>
      </c>
      <c r="L197" t="s">
        <v>24</v>
      </c>
      <c r="M197" t="str">
        <f>IF(Table2[[#This Row],[Final_Exam_Score]]&gt;= 50,"Pass","Fail")</f>
        <v>Fail</v>
      </c>
    </row>
    <row r="198" spans="1:13" x14ac:dyDescent="0.25">
      <c r="A198" t="s">
        <v>220</v>
      </c>
      <c r="B198" t="s">
        <v>13</v>
      </c>
      <c r="C198" s="2">
        <v>17</v>
      </c>
      <c r="D198">
        <v>6</v>
      </c>
      <c r="E198">
        <v>74.98</v>
      </c>
      <c r="F198" t="s">
        <v>22</v>
      </c>
      <c r="G198" t="s">
        <v>15</v>
      </c>
      <c r="H198" t="s">
        <v>16</v>
      </c>
      <c r="I198">
        <v>49</v>
      </c>
      <c r="J198">
        <v>7.5</v>
      </c>
      <c r="K198">
        <v>40</v>
      </c>
      <c r="L198" t="s">
        <v>24</v>
      </c>
      <c r="M198" t="str">
        <f>IF(Table2[[#This Row],[Final_Exam_Score]]&gt;= 50,"Pass","Fail")</f>
        <v>Fail</v>
      </c>
    </row>
    <row r="199" spans="1:13" x14ac:dyDescent="0.25">
      <c r="A199" t="s">
        <v>221</v>
      </c>
      <c r="B199" t="s">
        <v>13</v>
      </c>
      <c r="C199" s="2">
        <v>16</v>
      </c>
      <c r="D199">
        <v>9</v>
      </c>
      <c r="E199">
        <v>70.75</v>
      </c>
      <c r="F199" t="s">
        <v>22</v>
      </c>
      <c r="G199" t="s">
        <v>26</v>
      </c>
      <c r="H199" t="s">
        <v>24</v>
      </c>
      <c r="I199">
        <v>48</v>
      </c>
      <c r="J199">
        <v>6.2</v>
      </c>
      <c r="K199">
        <v>40</v>
      </c>
      <c r="L199" t="s">
        <v>24</v>
      </c>
      <c r="M199" t="str">
        <f>IF(Table2[[#This Row],[Final_Exam_Score]]&gt;= 50,"Pass","Fail")</f>
        <v>Fail</v>
      </c>
    </row>
    <row r="200" spans="1:13" x14ac:dyDescent="0.25">
      <c r="A200" t="s">
        <v>222</v>
      </c>
      <c r="B200" t="s">
        <v>18</v>
      </c>
      <c r="C200" s="2">
        <v>20</v>
      </c>
      <c r="D200">
        <v>16</v>
      </c>
      <c r="E200">
        <v>65.64</v>
      </c>
      <c r="F200" t="s">
        <v>22</v>
      </c>
      <c r="G200" t="s">
        <v>26</v>
      </c>
      <c r="H200" t="s">
        <v>16</v>
      </c>
      <c r="I200">
        <v>55</v>
      </c>
      <c r="J200">
        <v>8.8000000000000007</v>
      </c>
      <c r="K200">
        <v>51.649063613753803</v>
      </c>
      <c r="L200" t="s">
        <v>16</v>
      </c>
      <c r="M200" t="str">
        <f>IF(Table2[[#This Row],[Final_Exam_Score]]&gt;= 50,"Pass","Fail")</f>
        <v>Pass</v>
      </c>
    </row>
    <row r="201" spans="1:13" x14ac:dyDescent="0.25">
      <c r="A201" t="s">
        <v>223</v>
      </c>
      <c r="B201" t="s">
        <v>13</v>
      </c>
      <c r="C201" s="2">
        <v>21</v>
      </c>
      <c r="D201">
        <v>23</v>
      </c>
      <c r="E201">
        <v>77.41</v>
      </c>
      <c r="F201" t="s">
        <v>28</v>
      </c>
      <c r="G201" t="s">
        <v>15</v>
      </c>
      <c r="H201" t="s">
        <v>16</v>
      </c>
      <c r="I201">
        <v>65</v>
      </c>
      <c r="J201">
        <v>8.3000000000000007</v>
      </c>
      <c r="K201">
        <v>52.521927634365902</v>
      </c>
      <c r="L201" t="s">
        <v>16</v>
      </c>
      <c r="M201" t="str">
        <f>IF(Table2[[#This Row],[Final_Exam_Score]]&gt;= 50,"Pass","Fail")</f>
        <v>Pass</v>
      </c>
    </row>
    <row r="202" spans="1:13" x14ac:dyDescent="0.25">
      <c r="A202" t="s">
        <v>224</v>
      </c>
      <c r="B202" t="s">
        <v>18</v>
      </c>
      <c r="C202" s="2">
        <v>20</v>
      </c>
      <c r="D202">
        <v>10</v>
      </c>
      <c r="E202">
        <v>93.91</v>
      </c>
      <c r="F202" t="s">
        <v>32</v>
      </c>
      <c r="G202" t="s">
        <v>23</v>
      </c>
      <c r="H202" t="s">
        <v>24</v>
      </c>
      <c r="I202">
        <v>64</v>
      </c>
      <c r="J202">
        <v>5.4</v>
      </c>
      <c r="K202">
        <v>42.2882450146355</v>
      </c>
      <c r="L202" t="s">
        <v>16</v>
      </c>
      <c r="M202" t="str">
        <f>IF(Table2[[#This Row],[Final_Exam_Score]]&gt;= 50,"Pass","Fail")</f>
        <v>Fail</v>
      </c>
    </row>
    <row r="203" spans="1:13" x14ac:dyDescent="0.25">
      <c r="A203" t="s">
        <v>225</v>
      </c>
      <c r="B203" t="s">
        <v>18</v>
      </c>
      <c r="C203" s="2">
        <v>18</v>
      </c>
      <c r="D203">
        <v>19</v>
      </c>
      <c r="E203">
        <v>75.63</v>
      </c>
      <c r="F203" t="s">
        <v>28</v>
      </c>
      <c r="G203" t="s">
        <v>26</v>
      </c>
      <c r="H203" t="s">
        <v>16</v>
      </c>
      <c r="I203">
        <v>47</v>
      </c>
      <c r="J203">
        <v>4</v>
      </c>
      <c r="K203">
        <v>40</v>
      </c>
      <c r="L203" t="s">
        <v>16</v>
      </c>
      <c r="M203" t="str">
        <f>IF(Table2[[#This Row],[Final_Exam_Score]]&gt;= 50,"Pass","Fail")</f>
        <v>Fail</v>
      </c>
    </row>
    <row r="204" spans="1:13" x14ac:dyDescent="0.25">
      <c r="A204" t="s">
        <v>226</v>
      </c>
      <c r="B204" t="s">
        <v>13</v>
      </c>
      <c r="C204" s="2">
        <v>16</v>
      </c>
      <c r="D204">
        <v>21</v>
      </c>
      <c r="E204">
        <v>89.85</v>
      </c>
      <c r="F204" t="s">
        <v>14</v>
      </c>
      <c r="G204" t="s">
        <v>15</v>
      </c>
      <c r="H204" t="s">
        <v>24</v>
      </c>
      <c r="I204">
        <v>78</v>
      </c>
      <c r="J204">
        <v>6.7</v>
      </c>
      <c r="K204">
        <v>52.620345643020997</v>
      </c>
      <c r="L204" t="s">
        <v>24</v>
      </c>
      <c r="M204" t="str">
        <f>IF(Table2[[#This Row],[Final_Exam_Score]]&gt;= 50,"Pass","Fail")</f>
        <v>Pass</v>
      </c>
    </row>
    <row r="205" spans="1:13" x14ac:dyDescent="0.25">
      <c r="A205" t="s">
        <v>227</v>
      </c>
      <c r="B205" t="s">
        <v>13</v>
      </c>
      <c r="C205" s="2">
        <v>17</v>
      </c>
      <c r="D205">
        <v>5</v>
      </c>
      <c r="E205">
        <v>90.51</v>
      </c>
      <c r="F205" t="s">
        <v>14</v>
      </c>
      <c r="G205" t="s">
        <v>23</v>
      </c>
      <c r="H205" t="s">
        <v>24</v>
      </c>
      <c r="I205">
        <v>74</v>
      </c>
      <c r="J205">
        <v>8.3000000000000007</v>
      </c>
      <c r="K205">
        <v>54.955289977180698</v>
      </c>
      <c r="L205" t="s">
        <v>24</v>
      </c>
      <c r="M205" t="str">
        <f>IF(Table2[[#This Row],[Final_Exam_Score]]&gt;= 50,"Pass","Fail")</f>
        <v>Pass</v>
      </c>
    </row>
    <row r="206" spans="1:13" x14ac:dyDescent="0.25">
      <c r="A206" t="s">
        <v>228</v>
      </c>
      <c r="B206" t="s">
        <v>13</v>
      </c>
      <c r="C206" s="2">
        <v>16</v>
      </c>
      <c r="D206">
        <v>14</v>
      </c>
      <c r="E206">
        <v>65.89</v>
      </c>
      <c r="F206" t="s">
        <v>14</v>
      </c>
      <c r="G206" t="s">
        <v>26</v>
      </c>
      <c r="H206" t="s">
        <v>24</v>
      </c>
      <c r="I206">
        <v>76</v>
      </c>
      <c r="J206">
        <v>8.5</v>
      </c>
      <c r="K206">
        <v>56.250337012232599</v>
      </c>
      <c r="L206" t="s">
        <v>16</v>
      </c>
      <c r="M206" t="str">
        <f>IF(Table2[[#This Row],[Final_Exam_Score]]&gt;= 50,"Pass","Fail")</f>
        <v>Pass</v>
      </c>
    </row>
    <row r="207" spans="1:13" x14ac:dyDescent="0.25">
      <c r="A207" t="s">
        <v>229</v>
      </c>
      <c r="B207" t="s">
        <v>18</v>
      </c>
      <c r="C207" s="2">
        <v>18</v>
      </c>
      <c r="D207">
        <v>28</v>
      </c>
      <c r="E207">
        <v>98.66</v>
      </c>
      <c r="F207" t="s">
        <v>14</v>
      </c>
      <c r="G207" t="s">
        <v>15</v>
      </c>
      <c r="H207" t="s">
        <v>24</v>
      </c>
      <c r="I207">
        <v>70</v>
      </c>
      <c r="J207">
        <v>4.5999999999999996</v>
      </c>
      <c r="K207">
        <v>56.900087549353003</v>
      </c>
      <c r="L207" t="s">
        <v>16</v>
      </c>
      <c r="M207" t="str">
        <f>IF(Table2[[#This Row],[Final_Exam_Score]]&gt;= 50,"Pass","Fail")</f>
        <v>Pass</v>
      </c>
    </row>
    <row r="208" spans="1:13" x14ac:dyDescent="0.25">
      <c r="A208" t="s">
        <v>230</v>
      </c>
      <c r="B208" t="s">
        <v>13</v>
      </c>
      <c r="C208" s="2">
        <v>16</v>
      </c>
      <c r="D208">
        <v>13</v>
      </c>
      <c r="E208">
        <v>69.87</v>
      </c>
      <c r="F208" t="s">
        <v>22</v>
      </c>
      <c r="G208" t="s">
        <v>26</v>
      </c>
      <c r="H208" t="s">
        <v>24</v>
      </c>
      <c r="I208">
        <v>56</v>
      </c>
      <c r="J208">
        <v>8.5</v>
      </c>
      <c r="K208">
        <v>40</v>
      </c>
      <c r="L208" t="s">
        <v>16</v>
      </c>
      <c r="M208" t="str">
        <f>IF(Table2[[#This Row],[Final_Exam_Score]]&gt;= 50,"Pass","Fail")</f>
        <v>Fail</v>
      </c>
    </row>
    <row r="209" spans="1:13" x14ac:dyDescent="0.25">
      <c r="A209" t="s">
        <v>231</v>
      </c>
      <c r="B209" t="s">
        <v>13</v>
      </c>
      <c r="C209" s="2">
        <v>18</v>
      </c>
      <c r="D209">
        <v>27</v>
      </c>
      <c r="E209">
        <v>90.11</v>
      </c>
      <c r="F209" t="s">
        <v>32</v>
      </c>
      <c r="G209" t="s">
        <v>23</v>
      </c>
      <c r="H209" t="s">
        <v>16</v>
      </c>
      <c r="I209">
        <v>58</v>
      </c>
      <c r="J209">
        <v>6.5</v>
      </c>
      <c r="K209">
        <v>54.540725052896697</v>
      </c>
      <c r="L209" t="s">
        <v>24</v>
      </c>
      <c r="M209" t="str">
        <f>IF(Table2[[#This Row],[Final_Exam_Score]]&gt;= 50,"Pass","Fail")</f>
        <v>Pass</v>
      </c>
    </row>
    <row r="210" spans="1:13" x14ac:dyDescent="0.25">
      <c r="A210" t="s">
        <v>232</v>
      </c>
      <c r="B210" t="s">
        <v>13</v>
      </c>
      <c r="C210" s="2">
        <v>15</v>
      </c>
      <c r="D210">
        <v>3</v>
      </c>
      <c r="E210">
        <v>78.28</v>
      </c>
      <c r="F210" t="s">
        <v>19</v>
      </c>
      <c r="G210" t="s">
        <v>15</v>
      </c>
      <c r="H210" t="s">
        <v>24</v>
      </c>
      <c r="I210">
        <v>91</v>
      </c>
      <c r="J210">
        <v>8.9</v>
      </c>
      <c r="K210">
        <v>53.092806296291997</v>
      </c>
      <c r="L210" t="s">
        <v>24</v>
      </c>
      <c r="M210" t="str">
        <f>IF(Table2[[#This Row],[Final_Exam_Score]]&gt;= 50,"Pass","Fail")</f>
        <v>Pass</v>
      </c>
    </row>
    <row r="211" spans="1:13" x14ac:dyDescent="0.25">
      <c r="A211" t="s">
        <v>233</v>
      </c>
      <c r="B211" t="s">
        <v>18</v>
      </c>
      <c r="C211" s="2">
        <v>18</v>
      </c>
      <c r="D211">
        <v>7</v>
      </c>
      <c r="E211">
        <v>95.39</v>
      </c>
      <c r="F211" t="s">
        <v>19</v>
      </c>
      <c r="G211" t="s">
        <v>26</v>
      </c>
      <c r="H211" t="s">
        <v>24</v>
      </c>
      <c r="I211">
        <v>53</v>
      </c>
      <c r="J211">
        <v>8</v>
      </c>
      <c r="K211">
        <v>44.717779582302903</v>
      </c>
      <c r="L211" t="s">
        <v>16</v>
      </c>
      <c r="M211" t="str">
        <f>IF(Table2[[#This Row],[Final_Exam_Score]]&gt;= 50,"Pass","Fail")</f>
        <v>Fail</v>
      </c>
    </row>
    <row r="212" spans="1:13" x14ac:dyDescent="0.25">
      <c r="A212" t="s">
        <v>234</v>
      </c>
      <c r="B212" t="s">
        <v>13</v>
      </c>
      <c r="C212" s="2">
        <v>20</v>
      </c>
      <c r="D212">
        <v>7</v>
      </c>
      <c r="E212">
        <v>99.82</v>
      </c>
      <c r="F212" t="s">
        <v>14</v>
      </c>
      <c r="G212" t="s">
        <v>15</v>
      </c>
      <c r="H212" t="s">
        <v>16</v>
      </c>
      <c r="I212">
        <v>94</v>
      </c>
      <c r="J212">
        <v>4.8</v>
      </c>
      <c r="K212">
        <v>60.770520233736498</v>
      </c>
      <c r="L212" t="s">
        <v>24</v>
      </c>
      <c r="M212" t="str">
        <f>IF(Table2[[#This Row],[Final_Exam_Score]]&gt;= 50,"Pass","Fail")</f>
        <v>Pass</v>
      </c>
    </row>
    <row r="213" spans="1:13" x14ac:dyDescent="0.25">
      <c r="A213" t="s">
        <v>235</v>
      </c>
      <c r="B213" t="s">
        <v>13</v>
      </c>
      <c r="C213" s="2">
        <v>18</v>
      </c>
      <c r="D213">
        <v>4</v>
      </c>
      <c r="E213">
        <v>71.77</v>
      </c>
      <c r="F213" t="s">
        <v>32</v>
      </c>
      <c r="G213" t="s">
        <v>15</v>
      </c>
      <c r="H213" t="s">
        <v>24</v>
      </c>
      <c r="I213">
        <v>74</v>
      </c>
      <c r="J213">
        <v>6.6</v>
      </c>
      <c r="K213">
        <v>41.212705915944497</v>
      </c>
      <c r="L213" t="s">
        <v>24</v>
      </c>
      <c r="M213" t="str">
        <f>IF(Table2[[#This Row],[Final_Exam_Score]]&gt;= 50,"Pass","Fail")</f>
        <v>Fail</v>
      </c>
    </row>
    <row r="214" spans="1:13" x14ac:dyDescent="0.25">
      <c r="A214" t="s">
        <v>236</v>
      </c>
      <c r="B214" t="s">
        <v>13</v>
      </c>
      <c r="C214" s="2">
        <v>19</v>
      </c>
      <c r="D214">
        <v>22</v>
      </c>
      <c r="E214">
        <v>93.68</v>
      </c>
      <c r="F214" t="s">
        <v>28</v>
      </c>
      <c r="G214" t="s">
        <v>15</v>
      </c>
      <c r="H214" t="s">
        <v>24</v>
      </c>
      <c r="I214">
        <v>99</v>
      </c>
      <c r="J214">
        <v>8.4</v>
      </c>
      <c r="K214">
        <v>71.752315266826102</v>
      </c>
      <c r="L214" t="s">
        <v>16</v>
      </c>
      <c r="M214" t="str">
        <f>IF(Table2[[#This Row],[Final_Exam_Score]]&gt;= 50,"Pass","Fail")</f>
        <v>Pass</v>
      </c>
    </row>
    <row r="215" spans="1:13" x14ac:dyDescent="0.25">
      <c r="A215" t="s">
        <v>237</v>
      </c>
      <c r="B215" t="s">
        <v>18</v>
      </c>
      <c r="C215" s="2">
        <v>21</v>
      </c>
      <c r="D215">
        <v>24</v>
      </c>
      <c r="E215">
        <v>82.69</v>
      </c>
      <c r="F215" t="s">
        <v>28</v>
      </c>
      <c r="G215" t="s">
        <v>23</v>
      </c>
      <c r="H215" t="s">
        <v>16</v>
      </c>
      <c r="I215">
        <v>61</v>
      </c>
      <c r="J215">
        <v>8.1</v>
      </c>
      <c r="K215">
        <v>45.178702625462101</v>
      </c>
      <c r="L215" t="s">
        <v>16</v>
      </c>
      <c r="M215" t="str">
        <f>IF(Table2[[#This Row],[Final_Exam_Score]]&gt;= 50,"Pass","Fail")</f>
        <v>Fail</v>
      </c>
    </row>
    <row r="216" spans="1:13" x14ac:dyDescent="0.25">
      <c r="A216" t="s">
        <v>238</v>
      </c>
      <c r="B216" t="s">
        <v>13</v>
      </c>
      <c r="C216" s="2">
        <v>21</v>
      </c>
      <c r="D216">
        <v>27</v>
      </c>
      <c r="E216">
        <v>98.79</v>
      </c>
      <c r="F216" t="s">
        <v>14</v>
      </c>
      <c r="G216" t="s">
        <v>15</v>
      </c>
      <c r="H216" t="s">
        <v>24</v>
      </c>
      <c r="I216">
        <v>88</v>
      </c>
      <c r="J216">
        <v>8.8000000000000007</v>
      </c>
      <c r="K216">
        <v>72.746996243427205</v>
      </c>
      <c r="L216" t="s">
        <v>16</v>
      </c>
      <c r="M216" t="str">
        <f>IF(Table2[[#This Row],[Final_Exam_Score]]&gt;= 50,"Pass","Fail")</f>
        <v>Pass</v>
      </c>
    </row>
    <row r="217" spans="1:13" x14ac:dyDescent="0.25">
      <c r="A217" t="s">
        <v>239</v>
      </c>
      <c r="B217" t="s">
        <v>18</v>
      </c>
      <c r="C217" s="2">
        <v>21</v>
      </c>
      <c r="D217">
        <v>18</v>
      </c>
      <c r="E217">
        <v>88.03</v>
      </c>
      <c r="F217" t="s">
        <v>14</v>
      </c>
      <c r="G217" t="s">
        <v>23</v>
      </c>
      <c r="H217" t="s">
        <v>16</v>
      </c>
      <c r="I217">
        <v>90</v>
      </c>
      <c r="J217">
        <v>8.1999999999999993</v>
      </c>
      <c r="K217">
        <v>64.906919177787998</v>
      </c>
      <c r="L217" t="s">
        <v>24</v>
      </c>
      <c r="M217" t="str">
        <f>IF(Table2[[#This Row],[Final_Exam_Score]]&gt;= 50,"Pass","Fail")</f>
        <v>Pass</v>
      </c>
    </row>
    <row r="218" spans="1:13" x14ac:dyDescent="0.25">
      <c r="A218" t="s">
        <v>240</v>
      </c>
      <c r="B218" t="s">
        <v>18</v>
      </c>
      <c r="C218" s="2">
        <v>21</v>
      </c>
      <c r="D218">
        <v>27</v>
      </c>
      <c r="E218">
        <v>85.76</v>
      </c>
      <c r="F218" t="s">
        <v>28</v>
      </c>
      <c r="G218" t="s">
        <v>15</v>
      </c>
      <c r="H218" t="s">
        <v>24</v>
      </c>
      <c r="I218">
        <v>67</v>
      </c>
      <c r="J218">
        <v>9</v>
      </c>
      <c r="K218">
        <v>53.020504254132703</v>
      </c>
      <c r="L218" t="s">
        <v>24</v>
      </c>
      <c r="M218" t="str">
        <f>IF(Table2[[#This Row],[Final_Exam_Score]]&gt;= 50,"Pass","Fail")</f>
        <v>Pass</v>
      </c>
    </row>
    <row r="219" spans="1:13" x14ac:dyDescent="0.25">
      <c r="A219" t="s">
        <v>241</v>
      </c>
      <c r="B219" t="s">
        <v>18</v>
      </c>
      <c r="C219" s="2">
        <v>20</v>
      </c>
      <c r="D219">
        <v>23</v>
      </c>
      <c r="E219">
        <v>73.03</v>
      </c>
      <c r="F219" t="s">
        <v>19</v>
      </c>
      <c r="G219" t="s">
        <v>15</v>
      </c>
      <c r="H219" t="s">
        <v>16</v>
      </c>
      <c r="I219">
        <v>91</v>
      </c>
      <c r="J219">
        <v>6.6</v>
      </c>
      <c r="K219">
        <v>51.687071602623597</v>
      </c>
      <c r="L219" t="s">
        <v>24</v>
      </c>
      <c r="M219" t="str">
        <f>IF(Table2[[#This Row],[Final_Exam_Score]]&gt;= 50,"Pass","Fail")</f>
        <v>Pass</v>
      </c>
    </row>
    <row r="220" spans="1:13" x14ac:dyDescent="0.25">
      <c r="A220" t="s">
        <v>242</v>
      </c>
      <c r="B220" t="s">
        <v>18</v>
      </c>
      <c r="C220" s="2">
        <v>16</v>
      </c>
      <c r="D220">
        <v>21</v>
      </c>
      <c r="E220">
        <v>90.15</v>
      </c>
      <c r="F220" t="s">
        <v>19</v>
      </c>
      <c r="G220" t="s">
        <v>26</v>
      </c>
      <c r="H220" t="s">
        <v>24</v>
      </c>
      <c r="I220">
        <v>62</v>
      </c>
      <c r="J220">
        <v>7</v>
      </c>
      <c r="K220">
        <v>57.509135484896497</v>
      </c>
      <c r="L220" t="s">
        <v>24</v>
      </c>
      <c r="M220" t="str">
        <f>IF(Table2[[#This Row],[Final_Exam_Score]]&gt;= 50,"Pass","Fail")</f>
        <v>Pass</v>
      </c>
    </row>
    <row r="221" spans="1:13" x14ac:dyDescent="0.25">
      <c r="A221" t="s">
        <v>243</v>
      </c>
      <c r="B221" t="s">
        <v>13</v>
      </c>
      <c r="C221" s="2">
        <v>16</v>
      </c>
      <c r="D221">
        <v>14</v>
      </c>
      <c r="E221">
        <v>75.09</v>
      </c>
      <c r="F221" t="s">
        <v>22</v>
      </c>
      <c r="G221" t="s">
        <v>23</v>
      </c>
      <c r="H221" t="s">
        <v>16</v>
      </c>
      <c r="I221">
        <v>49</v>
      </c>
      <c r="J221">
        <v>4.3</v>
      </c>
      <c r="K221">
        <v>40.394890710609502</v>
      </c>
      <c r="L221" t="s">
        <v>24</v>
      </c>
      <c r="M221" t="str">
        <f>IF(Table2[[#This Row],[Final_Exam_Score]]&gt;= 50,"Pass","Fail")</f>
        <v>Fail</v>
      </c>
    </row>
    <row r="222" spans="1:13" x14ac:dyDescent="0.25">
      <c r="A222" t="s">
        <v>244</v>
      </c>
      <c r="B222" t="s">
        <v>18</v>
      </c>
      <c r="C222" s="2">
        <v>21</v>
      </c>
      <c r="D222">
        <v>29</v>
      </c>
      <c r="E222">
        <v>94.6</v>
      </c>
      <c r="F222" t="s">
        <v>19</v>
      </c>
      <c r="G222" t="s">
        <v>23</v>
      </c>
      <c r="H222" t="s">
        <v>16</v>
      </c>
      <c r="I222">
        <v>56</v>
      </c>
      <c r="J222">
        <v>6</v>
      </c>
      <c r="K222">
        <v>54.4878447266343</v>
      </c>
      <c r="L222" t="s">
        <v>16</v>
      </c>
      <c r="M222" t="str">
        <f>IF(Table2[[#This Row],[Final_Exam_Score]]&gt;= 50,"Pass","Fail")</f>
        <v>Pass</v>
      </c>
    </row>
    <row r="223" spans="1:13" x14ac:dyDescent="0.25">
      <c r="A223" t="s">
        <v>245</v>
      </c>
      <c r="B223" t="s">
        <v>18</v>
      </c>
      <c r="C223" s="2">
        <v>21</v>
      </c>
      <c r="D223">
        <v>17</v>
      </c>
      <c r="E223">
        <v>99.2</v>
      </c>
      <c r="F223" t="s">
        <v>28</v>
      </c>
      <c r="G223" t="s">
        <v>23</v>
      </c>
      <c r="H223" t="s">
        <v>24</v>
      </c>
      <c r="I223">
        <v>77</v>
      </c>
      <c r="J223">
        <v>5.6</v>
      </c>
      <c r="K223">
        <v>63.124676923806597</v>
      </c>
      <c r="L223" t="s">
        <v>24</v>
      </c>
      <c r="M223" t="str">
        <f>IF(Table2[[#This Row],[Final_Exam_Score]]&gt;= 50,"Pass","Fail")</f>
        <v>Pass</v>
      </c>
    </row>
    <row r="224" spans="1:13" x14ac:dyDescent="0.25">
      <c r="A224" t="s">
        <v>246</v>
      </c>
      <c r="B224" t="s">
        <v>18</v>
      </c>
      <c r="C224" s="2">
        <v>21</v>
      </c>
      <c r="D224">
        <v>3</v>
      </c>
      <c r="E224">
        <v>65.27</v>
      </c>
      <c r="F224" t="s">
        <v>14</v>
      </c>
      <c r="G224" t="s">
        <v>15</v>
      </c>
      <c r="H224" t="s">
        <v>24</v>
      </c>
      <c r="I224">
        <v>68</v>
      </c>
      <c r="J224">
        <v>8.6</v>
      </c>
      <c r="K224">
        <v>40</v>
      </c>
      <c r="L224" t="s">
        <v>16</v>
      </c>
      <c r="M224" t="str">
        <f>IF(Table2[[#This Row],[Final_Exam_Score]]&gt;= 50,"Pass","Fail")</f>
        <v>Fail</v>
      </c>
    </row>
    <row r="225" spans="1:13" x14ac:dyDescent="0.25">
      <c r="A225" t="s">
        <v>247</v>
      </c>
      <c r="B225" t="s">
        <v>18</v>
      </c>
      <c r="C225" s="2">
        <v>19</v>
      </c>
      <c r="D225">
        <v>17</v>
      </c>
      <c r="E225">
        <v>98.41</v>
      </c>
      <c r="F225" t="s">
        <v>28</v>
      </c>
      <c r="G225" t="s">
        <v>23</v>
      </c>
      <c r="H225" t="s">
        <v>16</v>
      </c>
      <c r="I225">
        <v>82</v>
      </c>
      <c r="J225">
        <v>5.7</v>
      </c>
      <c r="K225">
        <v>59.400152219981997</v>
      </c>
      <c r="L225" t="s">
        <v>24</v>
      </c>
      <c r="M225" t="str">
        <f>IF(Table2[[#This Row],[Final_Exam_Score]]&gt;= 50,"Pass","Fail")</f>
        <v>Pass</v>
      </c>
    </row>
    <row r="226" spans="1:13" x14ac:dyDescent="0.25">
      <c r="A226" t="s">
        <v>248</v>
      </c>
      <c r="B226" t="s">
        <v>13</v>
      </c>
      <c r="C226" s="2">
        <v>16</v>
      </c>
      <c r="D226">
        <v>9</v>
      </c>
      <c r="E226">
        <v>77.55</v>
      </c>
      <c r="F226" t="s">
        <v>28</v>
      </c>
      <c r="G226" t="s">
        <v>26</v>
      </c>
      <c r="H226" t="s">
        <v>16</v>
      </c>
      <c r="I226">
        <v>70</v>
      </c>
      <c r="J226">
        <v>8.4</v>
      </c>
      <c r="K226">
        <v>44.325369219297698</v>
      </c>
      <c r="L226" t="s">
        <v>24</v>
      </c>
      <c r="M226" t="str">
        <f>IF(Table2[[#This Row],[Final_Exam_Score]]&gt;= 50,"Pass","Fail")</f>
        <v>Fail</v>
      </c>
    </row>
    <row r="227" spans="1:13" x14ac:dyDescent="0.25">
      <c r="A227" t="s">
        <v>249</v>
      </c>
      <c r="B227" t="s">
        <v>13</v>
      </c>
      <c r="C227" s="2">
        <v>21</v>
      </c>
      <c r="D227">
        <v>8</v>
      </c>
      <c r="E227">
        <v>82.09</v>
      </c>
      <c r="F227" t="s">
        <v>22</v>
      </c>
      <c r="G227" t="s">
        <v>23</v>
      </c>
      <c r="H227" t="s">
        <v>24</v>
      </c>
      <c r="I227">
        <v>98</v>
      </c>
      <c r="J227">
        <v>5.2</v>
      </c>
      <c r="K227">
        <v>59.615443765019997</v>
      </c>
      <c r="L227" t="s">
        <v>24</v>
      </c>
      <c r="M227" t="str">
        <f>IF(Table2[[#This Row],[Final_Exam_Score]]&gt;= 50,"Pass","Fail")</f>
        <v>Pass</v>
      </c>
    </row>
    <row r="228" spans="1:13" x14ac:dyDescent="0.25">
      <c r="A228" t="s">
        <v>250</v>
      </c>
      <c r="B228" t="s">
        <v>18</v>
      </c>
      <c r="C228" s="2">
        <v>15</v>
      </c>
      <c r="D228">
        <v>7</v>
      </c>
      <c r="E228">
        <v>97.34</v>
      </c>
      <c r="F228" t="s">
        <v>19</v>
      </c>
      <c r="G228" t="s">
        <v>26</v>
      </c>
      <c r="H228" t="s">
        <v>24</v>
      </c>
      <c r="I228">
        <v>49</v>
      </c>
      <c r="J228">
        <v>6.9</v>
      </c>
      <c r="K228">
        <v>43.453633873494297</v>
      </c>
      <c r="L228" t="s">
        <v>24</v>
      </c>
      <c r="M228" t="str">
        <f>IF(Table2[[#This Row],[Final_Exam_Score]]&gt;= 50,"Pass","Fail")</f>
        <v>Fail</v>
      </c>
    </row>
    <row r="229" spans="1:13" x14ac:dyDescent="0.25">
      <c r="A229" t="s">
        <v>251</v>
      </c>
      <c r="B229" t="s">
        <v>18</v>
      </c>
      <c r="C229" s="2">
        <v>17</v>
      </c>
      <c r="D229">
        <v>28</v>
      </c>
      <c r="E229">
        <v>92.16</v>
      </c>
      <c r="F229" t="s">
        <v>19</v>
      </c>
      <c r="G229" t="s">
        <v>23</v>
      </c>
      <c r="H229" t="s">
        <v>24</v>
      </c>
      <c r="I229">
        <v>47</v>
      </c>
      <c r="J229">
        <v>6.7</v>
      </c>
      <c r="K229">
        <v>40</v>
      </c>
      <c r="L229" t="s">
        <v>16</v>
      </c>
      <c r="M229" t="str">
        <f>IF(Table2[[#This Row],[Final_Exam_Score]]&gt;= 50,"Pass","Fail")</f>
        <v>Fail</v>
      </c>
    </row>
    <row r="230" spans="1:13" x14ac:dyDescent="0.25">
      <c r="A230" t="s">
        <v>252</v>
      </c>
      <c r="B230" t="s">
        <v>18</v>
      </c>
      <c r="C230" s="2">
        <v>16</v>
      </c>
      <c r="D230">
        <v>13</v>
      </c>
      <c r="E230">
        <v>73.510000000000005</v>
      </c>
      <c r="F230" t="s">
        <v>28</v>
      </c>
      <c r="G230" t="s">
        <v>26</v>
      </c>
      <c r="H230" t="s">
        <v>16</v>
      </c>
      <c r="I230">
        <v>64</v>
      </c>
      <c r="J230">
        <v>4.5</v>
      </c>
      <c r="K230">
        <v>43.0616026183123</v>
      </c>
      <c r="L230" t="s">
        <v>24</v>
      </c>
      <c r="M230" t="str">
        <f>IF(Table2[[#This Row],[Final_Exam_Score]]&gt;= 50,"Pass","Fail")</f>
        <v>Fail</v>
      </c>
    </row>
    <row r="231" spans="1:13" x14ac:dyDescent="0.25">
      <c r="A231" t="s">
        <v>253</v>
      </c>
      <c r="B231" t="s">
        <v>18</v>
      </c>
      <c r="C231" s="2">
        <v>18</v>
      </c>
      <c r="D231">
        <v>15</v>
      </c>
      <c r="E231">
        <v>68.39</v>
      </c>
      <c r="F231" t="s">
        <v>22</v>
      </c>
      <c r="G231" t="s">
        <v>15</v>
      </c>
      <c r="H231" t="s">
        <v>16</v>
      </c>
      <c r="I231">
        <v>80</v>
      </c>
      <c r="J231">
        <v>5.6</v>
      </c>
      <c r="K231">
        <v>50.626245515571</v>
      </c>
      <c r="L231" t="s">
        <v>24</v>
      </c>
      <c r="M231" t="str">
        <f>IF(Table2[[#This Row],[Final_Exam_Score]]&gt;= 50,"Pass","Fail")</f>
        <v>Pass</v>
      </c>
    </row>
    <row r="232" spans="1:13" x14ac:dyDescent="0.25">
      <c r="A232" t="s">
        <v>254</v>
      </c>
      <c r="B232" t="s">
        <v>18</v>
      </c>
      <c r="C232" s="2">
        <v>21</v>
      </c>
      <c r="D232">
        <v>24</v>
      </c>
      <c r="E232">
        <v>94.44</v>
      </c>
      <c r="F232" t="s">
        <v>28</v>
      </c>
      <c r="G232" t="s">
        <v>15</v>
      </c>
      <c r="H232" t="s">
        <v>16</v>
      </c>
      <c r="I232">
        <v>91</v>
      </c>
      <c r="J232">
        <v>8.9</v>
      </c>
      <c r="K232">
        <v>56.226374653341203</v>
      </c>
      <c r="L232" t="s">
        <v>24</v>
      </c>
      <c r="M232" t="str">
        <f>IF(Table2[[#This Row],[Final_Exam_Score]]&gt;= 50,"Pass","Fail")</f>
        <v>Pass</v>
      </c>
    </row>
    <row r="233" spans="1:13" x14ac:dyDescent="0.25">
      <c r="A233" t="s">
        <v>255</v>
      </c>
      <c r="B233" t="s">
        <v>13</v>
      </c>
      <c r="C233" s="2">
        <v>15</v>
      </c>
      <c r="D233">
        <v>16</v>
      </c>
      <c r="E233">
        <v>91.15</v>
      </c>
      <c r="F233" t="s">
        <v>32</v>
      </c>
      <c r="G233" t="s">
        <v>23</v>
      </c>
      <c r="H233" t="s">
        <v>16</v>
      </c>
      <c r="I233">
        <v>96</v>
      </c>
      <c r="J233">
        <v>7</v>
      </c>
      <c r="K233">
        <v>57.753262285555103</v>
      </c>
      <c r="L233" t="s">
        <v>16</v>
      </c>
      <c r="M233" t="str">
        <f>IF(Table2[[#This Row],[Final_Exam_Score]]&gt;= 50,"Pass","Fail")</f>
        <v>Pass</v>
      </c>
    </row>
    <row r="234" spans="1:13" x14ac:dyDescent="0.25">
      <c r="A234" t="s">
        <v>256</v>
      </c>
      <c r="B234" t="s">
        <v>13</v>
      </c>
      <c r="C234" s="2">
        <v>20</v>
      </c>
      <c r="D234">
        <v>29</v>
      </c>
      <c r="E234">
        <v>95.04</v>
      </c>
      <c r="F234" t="s">
        <v>32</v>
      </c>
      <c r="G234" t="s">
        <v>15</v>
      </c>
      <c r="H234" t="s">
        <v>24</v>
      </c>
      <c r="I234">
        <v>88</v>
      </c>
      <c r="J234">
        <v>8.1</v>
      </c>
      <c r="K234">
        <v>63.531174328049502</v>
      </c>
      <c r="L234" t="s">
        <v>16</v>
      </c>
      <c r="M234" t="str">
        <f>IF(Table2[[#This Row],[Final_Exam_Score]]&gt;= 50,"Pass","Fail")</f>
        <v>Pass</v>
      </c>
    </row>
    <row r="235" spans="1:13" x14ac:dyDescent="0.25">
      <c r="A235" t="s">
        <v>257</v>
      </c>
      <c r="B235" t="s">
        <v>18</v>
      </c>
      <c r="C235" s="2">
        <v>18</v>
      </c>
      <c r="D235">
        <v>4</v>
      </c>
      <c r="E235">
        <v>78.44</v>
      </c>
      <c r="F235" t="s">
        <v>19</v>
      </c>
      <c r="G235" t="s">
        <v>26</v>
      </c>
      <c r="H235" t="s">
        <v>16</v>
      </c>
      <c r="I235">
        <v>74</v>
      </c>
      <c r="J235">
        <v>7.6</v>
      </c>
      <c r="K235">
        <v>49.919213121944097</v>
      </c>
      <c r="L235" t="s">
        <v>16</v>
      </c>
      <c r="M235" t="str">
        <f>IF(Table2[[#This Row],[Final_Exam_Score]]&gt;= 50,"Pass","Fail")</f>
        <v>Fail</v>
      </c>
    </row>
    <row r="236" spans="1:13" x14ac:dyDescent="0.25">
      <c r="A236" t="s">
        <v>258</v>
      </c>
      <c r="B236" t="s">
        <v>18</v>
      </c>
      <c r="C236" s="2">
        <v>20</v>
      </c>
      <c r="D236">
        <v>10</v>
      </c>
      <c r="E236">
        <v>82.22</v>
      </c>
      <c r="F236" t="s">
        <v>28</v>
      </c>
      <c r="G236" t="s">
        <v>23</v>
      </c>
      <c r="H236" t="s">
        <v>24</v>
      </c>
      <c r="I236">
        <v>57</v>
      </c>
      <c r="J236">
        <v>8.5</v>
      </c>
      <c r="K236">
        <v>41.510480281229597</v>
      </c>
      <c r="L236" t="s">
        <v>16</v>
      </c>
      <c r="M236" t="str">
        <f>IF(Table2[[#This Row],[Final_Exam_Score]]&gt;= 50,"Pass","Fail")</f>
        <v>Fail</v>
      </c>
    </row>
    <row r="237" spans="1:13" x14ac:dyDescent="0.25">
      <c r="A237" t="s">
        <v>259</v>
      </c>
      <c r="B237" t="s">
        <v>18</v>
      </c>
      <c r="C237" s="2">
        <v>18</v>
      </c>
      <c r="D237">
        <v>19</v>
      </c>
      <c r="E237">
        <v>81.28</v>
      </c>
      <c r="F237" t="s">
        <v>19</v>
      </c>
      <c r="G237" t="s">
        <v>15</v>
      </c>
      <c r="H237" t="s">
        <v>16</v>
      </c>
      <c r="I237">
        <v>96</v>
      </c>
      <c r="J237">
        <v>5.7</v>
      </c>
      <c r="K237">
        <v>56.862072227524699</v>
      </c>
      <c r="L237" t="s">
        <v>16</v>
      </c>
      <c r="M237" t="str">
        <f>IF(Table2[[#This Row],[Final_Exam_Score]]&gt;= 50,"Pass","Fail")</f>
        <v>Pass</v>
      </c>
    </row>
    <row r="238" spans="1:13" x14ac:dyDescent="0.25">
      <c r="A238" t="s">
        <v>260</v>
      </c>
      <c r="B238" t="s">
        <v>13</v>
      </c>
      <c r="C238" s="2">
        <v>15</v>
      </c>
      <c r="D238">
        <v>12</v>
      </c>
      <c r="E238">
        <v>76.02</v>
      </c>
      <c r="F238" t="s">
        <v>32</v>
      </c>
      <c r="G238" t="s">
        <v>23</v>
      </c>
      <c r="H238" t="s">
        <v>16</v>
      </c>
      <c r="I238">
        <v>71</v>
      </c>
      <c r="J238">
        <v>5.0999999999999996</v>
      </c>
      <c r="K238">
        <v>42.183143807337601</v>
      </c>
      <c r="L238" t="s">
        <v>16</v>
      </c>
      <c r="M238" t="str">
        <f>IF(Table2[[#This Row],[Final_Exam_Score]]&gt;= 50,"Pass","Fail")</f>
        <v>Fail</v>
      </c>
    </row>
    <row r="239" spans="1:13" x14ac:dyDescent="0.25">
      <c r="A239" t="s">
        <v>261</v>
      </c>
      <c r="B239" t="s">
        <v>18</v>
      </c>
      <c r="C239" s="2">
        <v>15</v>
      </c>
      <c r="D239">
        <v>4</v>
      </c>
      <c r="E239">
        <v>76.75</v>
      </c>
      <c r="F239" t="s">
        <v>32</v>
      </c>
      <c r="G239" t="s">
        <v>26</v>
      </c>
      <c r="H239" t="s">
        <v>16</v>
      </c>
      <c r="I239">
        <v>54</v>
      </c>
      <c r="J239">
        <v>4.4000000000000004</v>
      </c>
      <c r="K239">
        <v>40</v>
      </c>
      <c r="L239" t="s">
        <v>24</v>
      </c>
      <c r="M239" t="str">
        <f>IF(Table2[[#This Row],[Final_Exam_Score]]&gt;= 50,"Pass","Fail")</f>
        <v>Fail</v>
      </c>
    </row>
    <row r="240" spans="1:13" x14ac:dyDescent="0.25">
      <c r="A240" t="s">
        <v>262</v>
      </c>
      <c r="B240" t="s">
        <v>13</v>
      </c>
      <c r="C240" s="2">
        <v>16</v>
      </c>
      <c r="D240">
        <v>16</v>
      </c>
      <c r="E240">
        <v>90.15</v>
      </c>
      <c r="F240" t="s">
        <v>28</v>
      </c>
      <c r="G240" t="s">
        <v>23</v>
      </c>
      <c r="H240" t="s">
        <v>24</v>
      </c>
      <c r="I240">
        <v>98</v>
      </c>
      <c r="J240">
        <v>8.1999999999999993</v>
      </c>
      <c r="K240">
        <v>58.034885768310403</v>
      </c>
      <c r="L240" t="s">
        <v>16</v>
      </c>
      <c r="M240" t="str">
        <f>IF(Table2[[#This Row],[Final_Exam_Score]]&gt;= 50,"Pass","Fail")</f>
        <v>Pass</v>
      </c>
    </row>
    <row r="241" spans="1:13" x14ac:dyDescent="0.25">
      <c r="A241" t="s">
        <v>263</v>
      </c>
      <c r="B241" t="s">
        <v>13</v>
      </c>
      <c r="C241" s="2">
        <v>17</v>
      </c>
      <c r="D241">
        <v>6</v>
      </c>
      <c r="E241">
        <v>91.36</v>
      </c>
      <c r="F241" t="s">
        <v>22</v>
      </c>
      <c r="G241" t="s">
        <v>23</v>
      </c>
      <c r="H241" t="s">
        <v>16</v>
      </c>
      <c r="I241">
        <v>93</v>
      </c>
      <c r="J241">
        <v>6.6</v>
      </c>
      <c r="K241">
        <v>60.248578873819397</v>
      </c>
      <c r="L241" t="s">
        <v>24</v>
      </c>
      <c r="M241" t="str">
        <f>IF(Table2[[#This Row],[Final_Exam_Score]]&gt;= 50,"Pass","Fail")</f>
        <v>Pass</v>
      </c>
    </row>
    <row r="242" spans="1:13" x14ac:dyDescent="0.25">
      <c r="A242" t="s">
        <v>264</v>
      </c>
      <c r="B242" t="s">
        <v>13</v>
      </c>
      <c r="C242" s="2">
        <v>18</v>
      </c>
      <c r="D242">
        <v>29</v>
      </c>
      <c r="E242">
        <v>95.23</v>
      </c>
      <c r="F242" t="s">
        <v>19</v>
      </c>
      <c r="G242" t="s">
        <v>15</v>
      </c>
      <c r="H242" t="s">
        <v>16</v>
      </c>
      <c r="I242">
        <v>84</v>
      </c>
      <c r="J242">
        <v>7.6</v>
      </c>
      <c r="K242">
        <v>62.610995759248702</v>
      </c>
      <c r="L242" t="s">
        <v>16</v>
      </c>
      <c r="M242" t="str">
        <f>IF(Table2[[#This Row],[Final_Exam_Score]]&gt;= 50,"Pass","Fail")</f>
        <v>Pass</v>
      </c>
    </row>
    <row r="243" spans="1:13" x14ac:dyDescent="0.25">
      <c r="A243" t="s">
        <v>265</v>
      </c>
      <c r="B243" t="s">
        <v>18</v>
      </c>
      <c r="C243" s="2">
        <v>20</v>
      </c>
      <c r="D243">
        <v>9</v>
      </c>
      <c r="E243">
        <v>94.57</v>
      </c>
      <c r="F243" t="s">
        <v>28</v>
      </c>
      <c r="G243" t="s">
        <v>26</v>
      </c>
      <c r="H243" t="s">
        <v>24</v>
      </c>
      <c r="I243">
        <v>61</v>
      </c>
      <c r="J243">
        <v>4.3</v>
      </c>
      <c r="K243">
        <v>42.7627206086228</v>
      </c>
      <c r="L243" t="s">
        <v>24</v>
      </c>
      <c r="M243" t="str">
        <f>IF(Table2[[#This Row],[Final_Exam_Score]]&gt;= 50,"Pass","Fail")</f>
        <v>Fail</v>
      </c>
    </row>
    <row r="244" spans="1:13" x14ac:dyDescent="0.25">
      <c r="A244" t="s">
        <v>266</v>
      </c>
      <c r="B244" t="s">
        <v>18</v>
      </c>
      <c r="C244" s="2">
        <v>18</v>
      </c>
      <c r="D244">
        <v>11</v>
      </c>
      <c r="E244">
        <v>91.39</v>
      </c>
      <c r="F244" t="s">
        <v>32</v>
      </c>
      <c r="G244" t="s">
        <v>26</v>
      </c>
      <c r="H244" t="s">
        <v>24</v>
      </c>
      <c r="I244">
        <v>84</v>
      </c>
      <c r="J244">
        <v>8.1999999999999993</v>
      </c>
      <c r="K244">
        <v>56.318125430913902</v>
      </c>
      <c r="L244" t="s">
        <v>24</v>
      </c>
      <c r="M244" t="str">
        <f>IF(Table2[[#This Row],[Final_Exam_Score]]&gt;= 50,"Pass","Fail")</f>
        <v>Pass</v>
      </c>
    </row>
    <row r="245" spans="1:13" x14ac:dyDescent="0.25">
      <c r="A245" t="s">
        <v>267</v>
      </c>
      <c r="B245" t="s">
        <v>18</v>
      </c>
      <c r="C245" s="2">
        <v>20</v>
      </c>
      <c r="D245">
        <v>15</v>
      </c>
      <c r="E245">
        <v>76.650000000000006</v>
      </c>
      <c r="F245" t="s">
        <v>19</v>
      </c>
      <c r="G245" t="s">
        <v>15</v>
      </c>
      <c r="H245" t="s">
        <v>24</v>
      </c>
      <c r="I245">
        <v>90</v>
      </c>
      <c r="J245">
        <v>6.9</v>
      </c>
      <c r="K245">
        <v>67.482317539301206</v>
      </c>
      <c r="L245" t="s">
        <v>16</v>
      </c>
      <c r="M245" t="str">
        <f>IF(Table2[[#This Row],[Final_Exam_Score]]&gt;= 50,"Pass","Fail")</f>
        <v>Pass</v>
      </c>
    </row>
    <row r="246" spans="1:13" x14ac:dyDescent="0.25">
      <c r="A246" t="s">
        <v>268</v>
      </c>
      <c r="B246" t="s">
        <v>13</v>
      </c>
      <c r="C246" s="2">
        <v>15</v>
      </c>
      <c r="D246">
        <v>23</v>
      </c>
      <c r="E246">
        <v>89.85</v>
      </c>
      <c r="F246" t="s">
        <v>14</v>
      </c>
      <c r="G246" t="s">
        <v>26</v>
      </c>
      <c r="H246" t="s">
        <v>24</v>
      </c>
      <c r="I246">
        <v>99</v>
      </c>
      <c r="J246">
        <v>4.5999999999999996</v>
      </c>
      <c r="K246">
        <v>68.231833913228996</v>
      </c>
      <c r="L246" t="s">
        <v>16</v>
      </c>
      <c r="M246" t="str">
        <f>IF(Table2[[#This Row],[Final_Exam_Score]]&gt;= 50,"Pass","Fail")</f>
        <v>Pass</v>
      </c>
    </row>
    <row r="247" spans="1:13" x14ac:dyDescent="0.25">
      <c r="A247" t="s">
        <v>269</v>
      </c>
      <c r="B247" t="s">
        <v>18</v>
      </c>
      <c r="C247" s="2">
        <v>17</v>
      </c>
      <c r="D247">
        <v>4</v>
      </c>
      <c r="E247">
        <v>99.04</v>
      </c>
      <c r="F247" t="s">
        <v>19</v>
      </c>
      <c r="G247" t="s">
        <v>23</v>
      </c>
      <c r="H247" t="s">
        <v>16</v>
      </c>
      <c r="I247">
        <v>69</v>
      </c>
      <c r="J247">
        <v>6.5</v>
      </c>
      <c r="K247">
        <v>49.881271493030603</v>
      </c>
      <c r="L247" t="s">
        <v>16</v>
      </c>
      <c r="M247" t="str">
        <f>IF(Table2[[#This Row],[Final_Exam_Score]]&gt;= 50,"Pass","Fail")</f>
        <v>Fail</v>
      </c>
    </row>
    <row r="248" spans="1:13" x14ac:dyDescent="0.25">
      <c r="A248" t="s">
        <v>270</v>
      </c>
      <c r="B248" t="s">
        <v>13</v>
      </c>
      <c r="C248" s="2">
        <v>20</v>
      </c>
      <c r="D248">
        <v>19</v>
      </c>
      <c r="E248">
        <v>97.07</v>
      </c>
      <c r="F248" t="s">
        <v>22</v>
      </c>
      <c r="G248" t="s">
        <v>15</v>
      </c>
      <c r="H248" t="s">
        <v>16</v>
      </c>
      <c r="I248">
        <v>68</v>
      </c>
      <c r="J248">
        <v>7</v>
      </c>
      <c r="K248">
        <v>55.8996297348057</v>
      </c>
      <c r="L248" t="s">
        <v>24</v>
      </c>
      <c r="M248" t="str">
        <f>IF(Table2[[#This Row],[Final_Exam_Score]]&gt;= 50,"Pass","Fail")</f>
        <v>Pass</v>
      </c>
    </row>
    <row r="249" spans="1:13" x14ac:dyDescent="0.25">
      <c r="A249" t="s">
        <v>271</v>
      </c>
      <c r="B249" t="s">
        <v>13</v>
      </c>
      <c r="C249" s="2">
        <v>18</v>
      </c>
      <c r="D249">
        <v>8</v>
      </c>
      <c r="E249">
        <v>99</v>
      </c>
      <c r="F249" t="s">
        <v>28</v>
      </c>
      <c r="G249" t="s">
        <v>23</v>
      </c>
      <c r="H249" t="s">
        <v>24</v>
      </c>
      <c r="I249">
        <v>74</v>
      </c>
      <c r="J249">
        <v>5.7</v>
      </c>
      <c r="K249">
        <v>58.121238460950998</v>
      </c>
      <c r="L249" t="s">
        <v>24</v>
      </c>
      <c r="M249" t="str">
        <f>IF(Table2[[#This Row],[Final_Exam_Score]]&gt;= 50,"Pass","Fail")</f>
        <v>Pass</v>
      </c>
    </row>
    <row r="250" spans="1:13" x14ac:dyDescent="0.25">
      <c r="A250" t="s">
        <v>272</v>
      </c>
      <c r="B250" t="s">
        <v>18</v>
      </c>
      <c r="C250" s="2">
        <v>21</v>
      </c>
      <c r="D250">
        <v>7</v>
      </c>
      <c r="E250">
        <v>66.27</v>
      </c>
      <c r="F250" t="s">
        <v>28</v>
      </c>
      <c r="G250" t="s">
        <v>15</v>
      </c>
      <c r="H250" t="s">
        <v>24</v>
      </c>
      <c r="I250">
        <v>48</v>
      </c>
      <c r="J250">
        <v>7.6</v>
      </c>
      <c r="K250">
        <v>40</v>
      </c>
      <c r="L250" t="s">
        <v>16</v>
      </c>
      <c r="M250" t="str">
        <f>IF(Table2[[#This Row],[Final_Exam_Score]]&gt;= 50,"Pass","Fail")</f>
        <v>Fail</v>
      </c>
    </row>
    <row r="251" spans="1:13" x14ac:dyDescent="0.25">
      <c r="A251" t="s">
        <v>273</v>
      </c>
      <c r="B251" t="s">
        <v>18</v>
      </c>
      <c r="C251" s="2">
        <v>15</v>
      </c>
      <c r="D251">
        <v>5</v>
      </c>
      <c r="E251">
        <v>86.41</v>
      </c>
      <c r="F251" t="s">
        <v>22</v>
      </c>
      <c r="G251" t="s">
        <v>15</v>
      </c>
      <c r="H251" t="s">
        <v>16</v>
      </c>
      <c r="I251">
        <v>45</v>
      </c>
      <c r="J251">
        <v>6.9</v>
      </c>
      <c r="K251">
        <v>40</v>
      </c>
      <c r="L251" t="s">
        <v>16</v>
      </c>
      <c r="M251" t="str">
        <f>IF(Table2[[#This Row],[Final_Exam_Score]]&gt;= 50,"Pass","Fail")</f>
        <v>Fail</v>
      </c>
    </row>
    <row r="252" spans="1:13" x14ac:dyDescent="0.25">
      <c r="A252" t="s">
        <v>274</v>
      </c>
      <c r="B252" t="s">
        <v>18</v>
      </c>
      <c r="C252" s="2">
        <v>21</v>
      </c>
      <c r="D252">
        <v>13</v>
      </c>
      <c r="E252">
        <v>72.540000000000006</v>
      </c>
      <c r="F252" t="s">
        <v>19</v>
      </c>
      <c r="G252" t="s">
        <v>23</v>
      </c>
      <c r="H252" t="s">
        <v>24</v>
      </c>
      <c r="I252">
        <v>73</v>
      </c>
      <c r="J252">
        <v>8.1999999999999993</v>
      </c>
      <c r="K252">
        <v>44.522523468862097</v>
      </c>
      <c r="L252" t="s">
        <v>24</v>
      </c>
      <c r="M252" t="str">
        <f>IF(Table2[[#This Row],[Final_Exam_Score]]&gt;= 50,"Pass","Fail")</f>
        <v>Fail</v>
      </c>
    </row>
    <row r="253" spans="1:13" x14ac:dyDescent="0.25">
      <c r="A253" t="s">
        <v>275</v>
      </c>
      <c r="B253" t="s">
        <v>13</v>
      </c>
      <c r="C253" s="2">
        <v>21</v>
      </c>
      <c r="D253">
        <v>3</v>
      </c>
      <c r="E253">
        <v>73.63</v>
      </c>
      <c r="F253" t="s">
        <v>19</v>
      </c>
      <c r="G253" t="s">
        <v>15</v>
      </c>
      <c r="H253" t="s">
        <v>16</v>
      </c>
      <c r="I253">
        <v>58</v>
      </c>
      <c r="J253">
        <v>8.3000000000000007</v>
      </c>
      <c r="K253">
        <v>40</v>
      </c>
      <c r="L253" t="s">
        <v>24</v>
      </c>
      <c r="M253" t="str">
        <f>IF(Table2[[#This Row],[Final_Exam_Score]]&gt;= 50,"Pass","Fail")</f>
        <v>Fail</v>
      </c>
    </row>
    <row r="254" spans="1:13" x14ac:dyDescent="0.25">
      <c r="A254" t="s">
        <v>276</v>
      </c>
      <c r="B254" t="s">
        <v>18</v>
      </c>
      <c r="C254" s="2">
        <v>16</v>
      </c>
      <c r="D254">
        <v>23</v>
      </c>
      <c r="E254">
        <v>94.54</v>
      </c>
      <c r="F254" t="s">
        <v>32</v>
      </c>
      <c r="G254" t="s">
        <v>15</v>
      </c>
      <c r="H254" t="s">
        <v>24</v>
      </c>
      <c r="I254">
        <v>98</v>
      </c>
      <c r="J254">
        <v>4.3</v>
      </c>
      <c r="K254">
        <v>75.579391125995798</v>
      </c>
      <c r="L254" t="s">
        <v>24</v>
      </c>
      <c r="M254" t="str">
        <f>IF(Table2[[#This Row],[Final_Exam_Score]]&gt;= 50,"Pass","Fail")</f>
        <v>Pass</v>
      </c>
    </row>
    <row r="255" spans="1:13" x14ac:dyDescent="0.25">
      <c r="A255" t="s">
        <v>277</v>
      </c>
      <c r="B255" t="s">
        <v>18</v>
      </c>
      <c r="C255" s="2">
        <v>16</v>
      </c>
      <c r="D255">
        <v>26</v>
      </c>
      <c r="E255">
        <v>91.26</v>
      </c>
      <c r="F255" t="s">
        <v>19</v>
      </c>
      <c r="G255" t="s">
        <v>23</v>
      </c>
      <c r="H255" t="s">
        <v>16</v>
      </c>
      <c r="I255">
        <v>87</v>
      </c>
      <c r="J255">
        <v>7.2</v>
      </c>
      <c r="K255">
        <v>63.403415016807799</v>
      </c>
      <c r="L255" t="s">
        <v>16</v>
      </c>
      <c r="M255" t="str">
        <f>IF(Table2[[#This Row],[Final_Exam_Score]]&gt;= 50,"Pass","Fail")</f>
        <v>Pass</v>
      </c>
    </row>
    <row r="256" spans="1:13" x14ac:dyDescent="0.25">
      <c r="A256" t="s">
        <v>278</v>
      </c>
      <c r="B256" t="s">
        <v>13</v>
      </c>
      <c r="C256" s="2">
        <v>19</v>
      </c>
      <c r="D256">
        <v>26</v>
      </c>
      <c r="E256">
        <v>76.510000000000005</v>
      </c>
      <c r="F256" t="s">
        <v>14</v>
      </c>
      <c r="G256" t="s">
        <v>15</v>
      </c>
      <c r="H256" t="s">
        <v>16</v>
      </c>
      <c r="I256">
        <v>92</v>
      </c>
      <c r="J256">
        <v>7.6</v>
      </c>
      <c r="K256">
        <v>65.480998740538993</v>
      </c>
      <c r="L256" t="s">
        <v>16</v>
      </c>
      <c r="M256" t="str">
        <f>IF(Table2[[#This Row],[Final_Exam_Score]]&gt;= 50,"Pass","Fail")</f>
        <v>Pass</v>
      </c>
    </row>
    <row r="257" spans="1:13" x14ac:dyDescent="0.25">
      <c r="A257" t="s">
        <v>279</v>
      </c>
      <c r="B257" t="s">
        <v>13</v>
      </c>
      <c r="C257" s="2">
        <v>19</v>
      </c>
      <c r="D257">
        <v>7</v>
      </c>
      <c r="E257">
        <v>83.2</v>
      </c>
      <c r="F257" t="s">
        <v>22</v>
      </c>
      <c r="G257" t="s">
        <v>23</v>
      </c>
      <c r="H257" t="s">
        <v>24</v>
      </c>
      <c r="I257">
        <v>86</v>
      </c>
      <c r="J257">
        <v>4.7</v>
      </c>
      <c r="K257">
        <v>54.634661343178301</v>
      </c>
      <c r="L257" t="s">
        <v>16</v>
      </c>
      <c r="M257" t="str">
        <f>IF(Table2[[#This Row],[Final_Exam_Score]]&gt;= 50,"Pass","Fail")</f>
        <v>Pass</v>
      </c>
    </row>
    <row r="258" spans="1:13" x14ac:dyDescent="0.25">
      <c r="A258" t="s">
        <v>280</v>
      </c>
      <c r="B258" t="s">
        <v>13</v>
      </c>
      <c r="C258" s="2">
        <v>20</v>
      </c>
      <c r="D258">
        <v>7</v>
      </c>
      <c r="E258">
        <v>71.59</v>
      </c>
      <c r="F258" t="s">
        <v>32</v>
      </c>
      <c r="G258" t="s">
        <v>26</v>
      </c>
      <c r="H258" t="s">
        <v>24</v>
      </c>
      <c r="I258">
        <v>97</v>
      </c>
      <c r="J258">
        <v>8.4</v>
      </c>
      <c r="K258">
        <v>68.982321412869993</v>
      </c>
      <c r="L258" t="s">
        <v>24</v>
      </c>
      <c r="M258" t="str">
        <f>IF(Table2[[#This Row],[Final_Exam_Score]]&gt;= 50,"Pass","Fail")</f>
        <v>Pass</v>
      </c>
    </row>
    <row r="259" spans="1:13" x14ac:dyDescent="0.25">
      <c r="A259" t="s">
        <v>281</v>
      </c>
      <c r="B259" t="s">
        <v>18</v>
      </c>
      <c r="C259" s="2">
        <v>16</v>
      </c>
      <c r="D259">
        <v>16</v>
      </c>
      <c r="E259">
        <v>65.13</v>
      </c>
      <c r="F259" t="s">
        <v>28</v>
      </c>
      <c r="G259" t="s">
        <v>26</v>
      </c>
      <c r="H259" t="s">
        <v>16</v>
      </c>
      <c r="I259">
        <v>68</v>
      </c>
      <c r="J259">
        <v>8.3000000000000007</v>
      </c>
      <c r="K259">
        <v>40</v>
      </c>
      <c r="L259" t="s">
        <v>24</v>
      </c>
      <c r="M259" t="str">
        <f>IF(Table2[[#This Row],[Final_Exam_Score]]&gt;= 50,"Pass","Fail")</f>
        <v>Fail</v>
      </c>
    </row>
    <row r="260" spans="1:13" x14ac:dyDescent="0.25">
      <c r="A260" t="s">
        <v>282</v>
      </c>
      <c r="B260" t="s">
        <v>13</v>
      </c>
      <c r="C260" s="2">
        <v>15</v>
      </c>
      <c r="D260">
        <v>22</v>
      </c>
      <c r="E260">
        <v>96.5</v>
      </c>
      <c r="F260" t="s">
        <v>22</v>
      </c>
      <c r="G260" t="s">
        <v>23</v>
      </c>
      <c r="H260" t="s">
        <v>16</v>
      </c>
      <c r="I260">
        <v>55</v>
      </c>
      <c r="J260">
        <v>4.7</v>
      </c>
      <c r="K260">
        <v>45.478075985400999</v>
      </c>
      <c r="L260" t="s">
        <v>16</v>
      </c>
      <c r="M260" t="str">
        <f>IF(Table2[[#This Row],[Final_Exam_Score]]&gt;= 50,"Pass","Fail")</f>
        <v>Fail</v>
      </c>
    </row>
    <row r="261" spans="1:13" x14ac:dyDescent="0.25">
      <c r="A261" t="s">
        <v>283</v>
      </c>
      <c r="B261" t="s">
        <v>18</v>
      </c>
      <c r="C261" s="2">
        <v>21</v>
      </c>
      <c r="D261">
        <v>27</v>
      </c>
      <c r="E261">
        <v>89.84</v>
      </c>
      <c r="F261" t="s">
        <v>28</v>
      </c>
      <c r="G261" t="s">
        <v>15</v>
      </c>
      <c r="H261" t="s">
        <v>24</v>
      </c>
      <c r="I261">
        <v>61</v>
      </c>
      <c r="J261">
        <v>8.4</v>
      </c>
      <c r="K261">
        <v>48.264893523263297</v>
      </c>
      <c r="L261" t="s">
        <v>16</v>
      </c>
      <c r="M261" t="str">
        <f>IF(Table2[[#This Row],[Final_Exam_Score]]&gt;= 50,"Pass","Fail")</f>
        <v>Fail</v>
      </c>
    </row>
    <row r="262" spans="1:13" x14ac:dyDescent="0.25">
      <c r="A262" t="s">
        <v>284</v>
      </c>
      <c r="B262" t="s">
        <v>18</v>
      </c>
      <c r="C262" s="2">
        <v>15</v>
      </c>
      <c r="D262">
        <v>21</v>
      </c>
      <c r="E262">
        <v>83.51</v>
      </c>
      <c r="F262" t="s">
        <v>22</v>
      </c>
      <c r="G262" t="s">
        <v>23</v>
      </c>
      <c r="H262" t="s">
        <v>16</v>
      </c>
      <c r="I262">
        <v>74</v>
      </c>
      <c r="J262">
        <v>7.2</v>
      </c>
      <c r="K262">
        <v>50.858032262192097</v>
      </c>
      <c r="L262" t="s">
        <v>16</v>
      </c>
      <c r="M262" t="str">
        <f>IF(Table2[[#This Row],[Final_Exam_Score]]&gt;= 50,"Pass","Fail")</f>
        <v>Pass</v>
      </c>
    </row>
    <row r="263" spans="1:13" x14ac:dyDescent="0.25">
      <c r="A263" t="s">
        <v>285</v>
      </c>
      <c r="B263" t="s">
        <v>13</v>
      </c>
      <c r="C263" s="2">
        <v>19</v>
      </c>
      <c r="D263">
        <v>14</v>
      </c>
      <c r="E263">
        <v>66.89</v>
      </c>
      <c r="F263" t="s">
        <v>28</v>
      </c>
      <c r="G263" t="s">
        <v>26</v>
      </c>
      <c r="H263" t="s">
        <v>24</v>
      </c>
      <c r="I263">
        <v>61</v>
      </c>
      <c r="J263">
        <v>7.9</v>
      </c>
      <c r="K263">
        <v>46.550509200244001</v>
      </c>
      <c r="L263" t="s">
        <v>16</v>
      </c>
      <c r="M263" t="str">
        <f>IF(Table2[[#This Row],[Final_Exam_Score]]&gt;= 50,"Pass","Fail")</f>
        <v>Fail</v>
      </c>
    </row>
    <row r="264" spans="1:13" x14ac:dyDescent="0.25">
      <c r="A264" t="s">
        <v>286</v>
      </c>
      <c r="B264" t="s">
        <v>13</v>
      </c>
      <c r="C264" s="2">
        <v>17</v>
      </c>
      <c r="D264">
        <v>12</v>
      </c>
      <c r="E264">
        <v>79.73</v>
      </c>
      <c r="F264" t="s">
        <v>28</v>
      </c>
      <c r="G264" t="s">
        <v>23</v>
      </c>
      <c r="H264" t="s">
        <v>16</v>
      </c>
      <c r="I264">
        <v>93</v>
      </c>
      <c r="J264">
        <v>8</v>
      </c>
      <c r="K264">
        <v>57.197022137108803</v>
      </c>
      <c r="L264" t="s">
        <v>24</v>
      </c>
      <c r="M264" t="str">
        <f>IF(Table2[[#This Row],[Final_Exam_Score]]&gt;= 50,"Pass","Fail")</f>
        <v>Pass</v>
      </c>
    </row>
    <row r="265" spans="1:13" x14ac:dyDescent="0.25">
      <c r="A265" t="s">
        <v>287</v>
      </c>
      <c r="B265" t="s">
        <v>18</v>
      </c>
      <c r="C265" s="2">
        <v>20</v>
      </c>
      <c r="D265">
        <v>5</v>
      </c>
      <c r="E265">
        <v>78.3</v>
      </c>
      <c r="F265" t="s">
        <v>32</v>
      </c>
      <c r="G265" t="s">
        <v>23</v>
      </c>
      <c r="H265" t="s">
        <v>24</v>
      </c>
      <c r="I265">
        <v>52</v>
      </c>
      <c r="J265">
        <v>4.8</v>
      </c>
      <c r="K265">
        <v>41.212668785805597</v>
      </c>
      <c r="L265" t="s">
        <v>16</v>
      </c>
      <c r="M265" t="str">
        <f>IF(Table2[[#This Row],[Final_Exam_Score]]&gt;= 50,"Pass","Fail")</f>
        <v>Fail</v>
      </c>
    </row>
    <row r="266" spans="1:13" x14ac:dyDescent="0.25">
      <c r="A266" t="s">
        <v>288</v>
      </c>
      <c r="B266" t="s">
        <v>18</v>
      </c>
      <c r="C266" s="2">
        <v>16</v>
      </c>
      <c r="D266">
        <v>22</v>
      </c>
      <c r="E266">
        <v>71</v>
      </c>
      <c r="F266" t="s">
        <v>19</v>
      </c>
      <c r="G266" t="s">
        <v>26</v>
      </c>
      <c r="H266" t="s">
        <v>16</v>
      </c>
      <c r="I266">
        <v>91</v>
      </c>
      <c r="J266">
        <v>4.3</v>
      </c>
      <c r="K266">
        <v>62.411540174613897</v>
      </c>
      <c r="L266" t="s">
        <v>24</v>
      </c>
      <c r="M266" t="str">
        <f>IF(Table2[[#This Row],[Final_Exam_Score]]&gt;= 50,"Pass","Fail")</f>
        <v>Pass</v>
      </c>
    </row>
    <row r="267" spans="1:13" x14ac:dyDescent="0.25">
      <c r="A267" t="s">
        <v>289</v>
      </c>
      <c r="B267" t="s">
        <v>18</v>
      </c>
      <c r="C267" s="2">
        <v>20</v>
      </c>
      <c r="D267">
        <v>3</v>
      </c>
      <c r="E267">
        <v>70.47</v>
      </c>
      <c r="F267" t="s">
        <v>19</v>
      </c>
      <c r="G267" t="s">
        <v>23</v>
      </c>
      <c r="H267" t="s">
        <v>16</v>
      </c>
      <c r="I267">
        <v>91</v>
      </c>
      <c r="J267">
        <v>7.2</v>
      </c>
      <c r="K267">
        <v>52.521040119231202</v>
      </c>
      <c r="L267" t="s">
        <v>16</v>
      </c>
      <c r="M267" t="str">
        <f>IF(Table2[[#This Row],[Final_Exam_Score]]&gt;= 50,"Pass","Fail")</f>
        <v>Pass</v>
      </c>
    </row>
    <row r="268" spans="1:13" x14ac:dyDescent="0.25">
      <c r="A268" t="s">
        <v>290</v>
      </c>
      <c r="B268" t="s">
        <v>18</v>
      </c>
      <c r="C268" s="2">
        <v>21</v>
      </c>
      <c r="D268">
        <v>15</v>
      </c>
      <c r="E268">
        <v>71.06</v>
      </c>
      <c r="F268" t="s">
        <v>22</v>
      </c>
      <c r="G268" t="s">
        <v>23</v>
      </c>
      <c r="H268" t="s">
        <v>24</v>
      </c>
      <c r="I268">
        <v>47</v>
      </c>
      <c r="J268">
        <v>5.7</v>
      </c>
      <c r="K268">
        <v>41.154639650289703</v>
      </c>
      <c r="L268" t="s">
        <v>16</v>
      </c>
      <c r="M268" t="str">
        <f>IF(Table2[[#This Row],[Final_Exam_Score]]&gt;= 50,"Pass","Fail")</f>
        <v>Fail</v>
      </c>
    </row>
    <row r="269" spans="1:13" x14ac:dyDescent="0.25">
      <c r="A269" t="s">
        <v>291</v>
      </c>
      <c r="B269" t="s">
        <v>18</v>
      </c>
      <c r="C269" s="2">
        <v>17</v>
      </c>
      <c r="D269">
        <v>28</v>
      </c>
      <c r="E269">
        <v>85.89</v>
      </c>
      <c r="F269" t="s">
        <v>32</v>
      </c>
      <c r="G269" t="s">
        <v>23</v>
      </c>
      <c r="H269" t="s">
        <v>24</v>
      </c>
      <c r="I269">
        <v>83</v>
      </c>
      <c r="J269">
        <v>5.3</v>
      </c>
      <c r="K269">
        <v>56.5767786026179</v>
      </c>
      <c r="L269" t="s">
        <v>16</v>
      </c>
      <c r="M269" t="str">
        <f>IF(Table2[[#This Row],[Final_Exam_Score]]&gt;= 50,"Pass","Fail")</f>
        <v>Pass</v>
      </c>
    </row>
    <row r="270" spans="1:13" x14ac:dyDescent="0.25">
      <c r="A270" t="s">
        <v>292</v>
      </c>
      <c r="B270" t="s">
        <v>13</v>
      </c>
      <c r="C270" s="2">
        <v>21</v>
      </c>
      <c r="D270">
        <v>27</v>
      </c>
      <c r="E270">
        <v>69.36</v>
      </c>
      <c r="F270" t="s">
        <v>19</v>
      </c>
      <c r="G270" t="s">
        <v>23</v>
      </c>
      <c r="H270" t="s">
        <v>24</v>
      </c>
      <c r="I270">
        <v>97</v>
      </c>
      <c r="J270">
        <v>4.5999999999999996</v>
      </c>
      <c r="K270">
        <v>57.547610541679703</v>
      </c>
      <c r="L270" t="s">
        <v>24</v>
      </c>
      <c r="M270" t="str">
        <f>IF(Table2[[#This Row],[Final_Exam_Score]]&gt;= 50,"Pass","Fail")</f>
        <v>Pass</v>
      </c>
    </row>
    <row r="271" spans="1:13" x14ac:dyDescent="0.25">
      <c r="A271" t="s">
        <v>293</v>
      </c>
      <c r="B271" t="s">
        <v>18</v>
      </c>
      <c r="C271" s="2">
        <v>20</v>
      </c>
      <c r="D271">
        <v>7</v>
      </c>
      <c r="E271">
        <v>73.349999999999994</v>
      </c>
      <c r="F271" t="s">
        <v>28</v>
      </c>
      <c r="G271" t="s">
        <v>23</v>
      </c>
      <c r="H271" t="s">
        <v>24</v>
      </c>
      <c r="I271">
        <v>58</v>
      </c>
      <c r="J271">
        <v>8.3000000000000007</v>
      </c>
      <c r="K271">
        <v>40</v>
      </c>
      <c r="L271" t="s">
        <v>16</v>
      </c>
      <c r="M271" t="str">
        <f>IF(Table2[[#This Row],[Final_Exam_Score]]&gt;= 50,"Pass","Fail")</f>
        <v>Fail</v>
      </c>
    </row>
    <row r="272" spans="1:13" x14ac:dyDescent="0.25">
      <c r="A272" t="s">
        <v>294</v>
      </c>
      <c r="B272" t="s">
        <v>18</v>
      </c>
      <c r="C272" s="2">
        <v>19</v>
      </c>
      <c r="D272">
        <v>27</v>
      </c>
      <c r="E272">
        <v>98.12</v>
      </c>
      <c r="F272" t="s">
        <v>22</v>
      </c>
      <c r="G272" t="s">
        <v>26</v>
      </c>
      <c r="H272" t="s">
        <v>16</v>
      </c>
      <c r="I272">
        <v>83</v>
      </c>
      <c r="J272">
        <v>6.9</v>
      </c>
      <c r="K272">
        <v>61.346040165548999</v>
      </c>
      <c r="L272" t="s">
        <v>16</v>
      </c>
      <c r="M272" t="str">
        <f>IF(Table2[[#This Row],[Final_Exam_Score]]&gt;= 50,"Pass","Fail")</f>
        <v>Pass</v>
      </c>
    </row>
    <row r="273" spans="1:13" x14ac:dyDescent="0.25">
      <c r="A273" t="s">
        <v>295</v>
      </c>
      <c r="B273" t="s">
        <v>18</v>
      </c>
      <c r="C273" s="2">
        <v>17</v>
      </c>
      <c r="D273">
        <v>13</v>
      </c>
      <c r="E273">
        <v>72.680000000000007</v>
      </c>
      <c r="F273" t="s">
        <v>19</v>
      </c>
      <c r="G273" t="s">
        <v>15</v>
      </c>
      <c r="H273" t="s">
        <v>16</v>
      </c>
      <c r="I273">
        <v>88</v>
      </c>
      <c r="J273">
        <v>8.1999999999999993</v>
      </c>
      <c r="K273">
        <v>48.865294537190501</v>
      </c>
      <c r="L273" t="s">
        <v>24</v>
      </c>
      <c r="M273" t="str">
        <f>IF(Table2[[#This Row],[Final_Exam_Score]]&gt;= 50,"Pass","Fail")</f>
        <v>Fail</v>
      </c>
    </row>
    <row r="274" spans="1:13" x14ac:dyDescent="0.25">
      <c r="A274" t="s">
        <v>296</v>
      </c>
      <c r="B274" t="s">
        <v>13</v>
      </c>
      <c r="C274" s="2">
        <v>21</v>
      </c>
      <c r="D274">
        <v>15</v>
      </c>
      <c r="E274">
        <v>91.73</v>
      </c>
      <c r="F274" t="s">
        <v>14</v>
      </c>
      <c r="G274" t="s">
        <v>23</v>
      </c>
      <c r="H274" t="s">
        <v>24</v>
      </c>
      <c r="I274">
        <v>46</v>
      </c>
      <c r="J274">
        <v>6.8</v>
      </c>
      <c r="K274">
        <v>40</v>
      </c>
      <c r="L274" t="s">
        <v>16</v>
      </c>
      <c r="M274" t="str">
        <f>IF(Table2[[#This Row],[Final_Exam_Score]]&gt;= 50,"Pass","Fail")</f>
        <v>Fail</v>
      </c>
    </row>
    <row r="275" spans="1:13" x14ac:dyDescent="0.25">
      <c r="A275" t="s">
        <v>297</v>
      </c>
      <c r="B275" t="s">
        <v>18</v>
      </c>
      <c r="C275" s="2">
        <v>15</v>
      </c>
      <c r="D275">
        <v>25</v>
      </c>
      <c r="E275">
        <v>85.93</v>
      </c>
      <c r="F275" t="s">
        <v>19</v>
      </c>
      <c r="G275" t="s">
        <v>26</v>
      </c>
      <c r="H275" t="s">
        <v>16</v>
      </c>
      <c r="I275">
        <v>81</v>
      </c>
      <c r="J275">
        <v>4.2</v>
      </c>
      <c r="K275">
        <v>60.343043711700901</v>
      </c>
      <c r="L275" t="s">
        <v>16</v>
      </c>
      <c r="M275" t="str">
        <f>IF(Table2[[#This Row],[Final_Exam_Score]]&gt;= 50,"Pass","Fail")</f>
        <v>Pass</v>
      </c>
    </row>
    <row r="276" spans="1:13" x14ac:dyDescent="0.25">
      <c r="A276" t="s">
        <v>298</v>
      </c>
      <c r="B276" t="s">
        <v>18</v>
      </c>
      <c r="C276" s="2">
        <v>18</v>
      </c>
      <c r="D276">
        <v>15</v>
      </c>
      <c r="E276">
        <v>79.459999999999994</v>
      </c>
      <c r="F276" t="s">
        <v>28</v>
      </c>
      <c r="G276" t="s">
        <v>23</v>
      </c>
      <c r="H276" t="s">
        <v>16</v>
      </c>
      <c r="I276">
        <v>76</v>
      </c>
      <c r="J276">
        <v>5.0999999999999996</v>
      </c>
      <c r="K276">
        <v>46.139938753863198</v>
      </c>
      <c r="L276" t="s">
        <v>16</v>
      </c>
      <c r="M276" t="str">
        <f>IF(Table2[[#This Row],[Final_Exam_Score]]&gt;= 50,"Pass","Fail")</f>
        <v>Fail</v>
      </c>
    </row>
    <row r="277" spans="1:13" x14ac:dyDescent="0.25">
      <c r="A277" t="s">
        <v>299</v>
      </c>
      <c r="B277" t="s">
        <v>13</v>
      </c>
      <c r="C277" s="2">
        <v>18</v>
      </c>
      <c r="D277">
        <v>26</v>
      </c>
      <c r="E277">
        <v>85.84</v>
      </c>
      <c r="F277" t="s">
        <v>32</v>
      </c>
      <c r="G277" t="s">
        <v>26</v>
      </c>
      <c r="H277" t="s">
        <v>24</v>
      </c>
      <c r="I277">
        <v>76</v>
      </c>
      <c r="J277">
        <v>8.1</v>
      </c>
      <c r="K277">
        <v>58.205143964350199</v>
      </c>
      <c r="L277" t="s">
        <v>16</v>
      </c>
      <c r="M277" t="str">
        <f>IF(Table2[[#This Row],[Final_Exam_Score]]&gt;= 50,"Pass","Fail")</f>
        <v>Pass</v>
      </c>
    </row>
    <row r="278" spans="1:13" x14ac:dyDescent="0.25">
      <c r="A278" t="s">
        <v>300</v>
      </c>
      <c r="B278" t="s">
        <v>13</v>
      </c>
      <c r="C278" s="2">
        <v>17</v>
      </c>
      <c r="D278">
        <v>20</v>
      </c>
      <c r="E278">
        <v>69.680000000000007</v>
      </c>
      <c r="F278" t="s">
        <v>22</v>
      </c>
      <c r="G278" t="s">
        <v>23</v>
      </c>
      <c r="H278" t="s">
        <v>24</v>
      </c>
      <c r="I278">
        <v>77</v>
      </c>
      <c r="J278">
        <v>5</v>
      </c>
      <c r="K278">
        <v>49.125220136063298</v>
      </c>
      <c r="L278" t="s">
        <v>24</v>
      </c>
      <c r="M278" t="str">
        <f>IF(Table2[[#This Row],[Final_Exam_Score]]&gt;= 50,"Pass","Fail")</f>
        <v>Fail</v>
      </c>
    </row>
    <row r="279" spans="1:13" x14ac:dyDescent="0.25">
      <c r="A279" t="s">
        <v>301</v>
      </c>
      <c r="B279" t="s">
        <v>13</v>
      </c>
      <c r="C279" s="2">
        <v>18</v>
      </c>
      <c r="D279">
        <v>29</v>
      </c>
      <c r="E279">
        <v>81.95</v>
      </c>
      <c r="F279" t="s">
        <v>28</v>
      </c>
      <c r="G279" t="s">
        <v>15</v>
      </c>
      <c r="H279" t="s">
        <v>24</v>
      </c>
      <c r="I279">
        <v>57</v>
      </c>
      <c r="J279">
        <v>8.6</v>
      </c>
      <c r="K279">
        <v>44.996575664458597</v>
      </c>
      <c r="L279" t="s">
        <v>16</v>
      </c>
      <c r="M279" t="str">
        <f>IF(Table2[[#This Row],[Final_Exam_Score]]&gt;= 50,"Pass","Fail")</f>
        <v>Fail</v>
      </c>
    </row>
    <row r="280" spans="1:13" x14ac:dyDescent="0.25">
      <c r="A280" t="s">
        <v>302</v>
      </c>
      <c r="B280" t="s">
        <v>18</v>
      </c>
      <c r="C280" s="2">
        <v>17</v>
      </c>
      <c r="D280">
        <v>26</v>
      </c>
      <c r="E280">
        <v>99.02</v>
      </c>
      <c r="F280" t="s">
        <v>28</v>
      </c>
      <c r="G280" t="s">
        <v>23</v>
      </c>
      <c r="H280" t="s">
        <v>24</v>
      </c>
      <c r="I280">
        <v>98</v>
      </c>
      <c r="J280">
        <v>5.6</v>
      </c>
      <c r="K280">
        <v>71.347127860564598</v>
      </c>
      <c r="L280" t="s">
        <v>16</v>
      </c>
      <c r="M280" t="str">
        <f>IF(Table2[[#This Row],[Final_Exam_Score]]&gt;= 50,"Pass","Fail")</f>
        <v>Pass</v>
      </c>
    </row>
    <row r="281" spans="1:13" x14ac:dyDescent="0.25">
      <c r="A281" t="s">
        <v>303</v>
      </c>
      <c r="B281" t="s">
        <v>18</v>
      </c>
      <c r="C281" s="2">
        <v>16</v>
      </c>
      <c r="D281">
        <v>19</v>
      </c>
      <c r="E281">
        <v>79.97</v>
      </c>
      <c r="F281" t="s">
        <v>14</v>
      </c>
      <c r="G281" t="s">
        <v>15</v>
      </c>
      <c r="H281" t="s">
        <v>16</v>
      </c>
      <c r="I281">
        <v>75</v>
      </c>
      <c r="J281">
        <v>6.1</v>
      </c>
      <c r="K281">
        <v>56.655555463644703</v>
      </c>
      <c r="L281" t="s">
        <v>16</v>
      </c>
      <c r="M281" t="str">
        <f>IF(Table2[[#This Row],[Final_Exam_Score]]&gt;= 50,"Pass","Fail")</f>
        <v>Pass</v>
      </c>
    </row>
    <row r="282" spans="1:13" x14ac:dyDescent="0.25">
      <c r="A282" t="s">
        <v>304</v>
      </c>
      <c r="B282" t="s">
        <v>13</v>
      </c>
      <c r="C282" s="2">
        <v>19</v>
      </c>
      <c r="D282">
        <v>24</v>
      </c>
      <c r="E282">
        <v>73.5</v>
      </c>
      <c r="F282" t="s">
        <v>28</v>
      </c>
      <c r="G282" t="s">
        <v>23</v>
      </c>
      <c r="H282" t="s">
        <v>16</v>
      </c>
      <c r="I282">
        <v>51</v>
      </c>
      <c r="J282">
        <v>7.3</v>
      </c>
      <c r="K282">
        <v>43.370988972403197</v>
      </c>
      <c r="L282" t="s">
        <v>24</v>
      </c>
      <c r="M282" t="str">
        <f>IF(Table2[[#This Row],[Final_Exam_Score]]&gt;= 50,"Pass","Fail")</f>
        <v>Fail</v>
      </c>
    </row>
    <row r="283" spans="1:13" x14ac:dyDescent="0.25">
      <c r="A283" t="s">
        <v>305</v>
      </c>
      <c r="B283" t="s">
        <v>13</v>
      </c>
      <c r="C283" s="2">
        <v>17</v>
      </c>
      <c r="D283">
        <v>28</v>
      </c>
      <c r="E283">
        <v>97.46</v>
      </c>
      <c r="F283" t="s">
        <v>14</v>
      </c>
      <c r="G283" t="s">
        <v>15</v>
      </c>
      <c r="H283" t="s">
        <v>24</v>
      </c>
      <c r="I283">
        <v>63</v>
      </c>
      <c r="J283">
        <v>8</v>
      </c>
      <c r="K283">
        <v>60.142147960160401</v>
      </c>
      <c r="L283" t="s">
        <v>16</v>
      </c>
      <c r="M283" t="str">
        <f>IF(Table2[[#This Row],[Final_Exam_Score]]&gt;= 50,"Pass","Fail")</f>
        <v>Pass</v>
      </c>
    </row>
    <row r="284" spans="1:13" x14ac:dyDescent="0.25">
      <c r="A284" t="s">
        <v>306</v>
      </c>
      <c r="B284" t="s">
        <v>18</v>
      </c>
      <c r="C284" s="2">
        <v>20</v>
      </c>
      <c r="D284">
        <v>18</v>
      </c>
      <c r="E284">
        <v>86.38</v>
      </c>
      <c r="F284" t="s">
        <v>28</v>
      </c>
      <c r="G284" t="s">
        <v>26</v>
      </c>
      <c r="H284" t="s">
        <v>16</v>
      </c>
      <c r="I284">
        <v>64</v>
      </c>
      <c r="J284">
        <v>7.8</v>
      </c>
      <c r="K284">
        <v>40</v>
      </c>
      <c r="L284" t="s">
        <v>24</v>
      </c>
      <c r="M284" t="str">
        <f>IF(Table2[[#This Row],[Final_Exam_Score]]&gt;= 50,"Pass","Fail")</f>
        <v>Fail</v>
      </c>
    </row>
    <row r="285" spans="1:13" x14ac:dyDescent="0.25">
      <c r="A285" t="s">
        <v>307</v>
      </c>
      <c r="B285" t="s">
        <v>13</v>
      </c>
      <c r="C285" s="2">
        <v>20</v>
      </c>
      <c r="D285">
        <v>13</v>
      </c>
      <c r="E285">
        <v>90.48</v>
      </c>
      <c r="F285" t="s">
        <v>19</v>
      </c>
      <c r="G285" t="s">
        <v>26</v>
      </c>
      <c r="H285" t="s">
        <v>16</v>
      </c>
      <c r="I285">
        <v>78</v>
      </c>
      <c r="J285">
        <v>8.1</v>
      </c>
      <c r="K285">
        <v>58.600188418330703</v>
      </c>
      <c r="L285" t="s">
        <v>16</v>
      </c>
      <c r="M285" t="str">
        <f>IF(Table2[[#This Row],[Final_Exam_Score]]&gt;= 50,"Pass","Fail")</f>
        <v>Pass</v>
      </c>
    </row>
    <row r="286" spans="1:13" x14ac:dyDescent="0.25">
      <c r="A286" t="s">
        <v>308</v>
      </c>
      <c r="B286" t="s">
        <v>13</v>
      </c>
      <c r="C286" s="2">
        <v>15</v>
      </c>
      <c r="D286">
        <v>4</v>
      </c>
      <c r="E286">
        <v>84.02</v>
      </c>
      <c r="F286" t="s">
        <v>22</v>
      </c>
      <c r="G286" t="s">
        <v>23</v>
      </c>
      <c r="H286" t="s">
        <v>24</v>
      </c>
      <c r="I286">
        <v>84</v>
      </c>
      <c r="J286">
        <v>6.5</v>
      </c>
      <c r="K286">
        <v>47.584736605751402</v>
      </c>
      <c r="L286" t="s">
        <v>16</v>
      </c>
      <c r="M286" t="str">
        <f>IF(Table2[[#This Row],[Final_Exam_Score]]&gt;= 50,"Pass","Fail")</f>
        <v>Fail</v>
      </c>
    </row>
    <row r="287" spans="1:13" x14ac:dyDescent="0.25">
      <c r="A287" t="s">
        <v>309</v>
      </c>
      <c r="B287" t="s">
        <v>13</v>
      </c>
      <c r="C287" s="2">
        <v>20</v>
      </c>
      <c r="D287">
        <v>6</v>
      </c>
      <c r="E287">
        <v>65.39</v>
      </c>
      <c r="F287" t="s">
        <v>32</v>
      </c>
      <c r="G287" t="s">
        <v>15</v>
      </c>
      <c r="H287" t="s">
        <v>24</v>
      </c>
      <c r="I287">
        <v>90</v>
      </c>
      <c r="J287">
        <v>5.6</v>
      </c>
      <c r="K287">
        <v>49.723698279904802</v>
      </c>
      <c r="L287" t="s">
        <v>24</v>
      </c>
      <c r="M287" t="str">
        <f>IF(Table2[[#This Row],[Final_Exam_Score]]&gt;= 50,"Pass","Fail")</f>
        <v>Fail</v>
      </c>
    </row>
    <row r="288" spans="1:13" x14ac:dyDescent="0.25">
      <c r="A288" t="s">
        <v>310</v>
      </c>
      <c r="B288" t="s">
        <v>18</v>
      </c>
      <c r="C288" s="2">
        <v>19</v>
      </c>
      <c r="D288">
        <v>23</v>
      </c>
      <c r="E288">
        <v>91.45</v>
      </c>
      <c r="F288" t="s">
        <v>14</v>
      </c>
      <c r="G288" t="s">
        <v>23</v>
      </c>
      <c r="H288" t="s">
        <v>24</v>
      </c>
      <c r="I288">
        <v>79</v>
      </c>
      <c r="J288">
        <v>5.0999999999999996</v>
      </c>
      <c r="K288">
        <v>58.582755966753503</v>
      </c>
      <c r="L288" t="s">
        <v>24</v>
      </c>
      <c r="M288" t="str">
        <f>IF(Table2[[#This Row],[Final_Exam_Score]]&gt;= 50,"Pass","Fail")</f>
        <v>Pass</v>
      </c>
    </row>
    <row r="289" spans="1:13" x14ac:dyDescent="0.25">
      <c r="A289" t="s">
        <v>311</v>
      </c>
      <c r="B289" t="s">
        <v>13</v>
      </c>
      <c r="C289" s="2">
        <v>15</v>
      </c>
      <c r="D289">
        <v>10</v>
      </c>
      <c r="E289">
        <v>99.25</v>
      </c>
      <c r="F289" t="s">
        <v>32</v>
      </c>
      <c r="G289" t="s">
        <v>23</v>
      </c>
      <c r="H289" t="s">
        <v>24</v>
      </c>
      <c r="I289">
        <v>96</v>
      </c>
      <c r="J289">
        <v>8.8000000000000007</v>
      </c>
      <c r="K289">
        <v>57.781816916775298</v>
      </c>
      <c r="L289" t="s">
        <v>24</v>
      </c>
      <c r="M289" t="str">
        <f>IF(Table2[[#This Row],[Final_Exam_Score]]&gt;= 50,"Pass","Fail")</f>
        <v>Pass</v>
      </c>
    </row>
    <row r="290" spans="1:13" x14ac:dyDescent="0.25">
      <c r="A290" t="s">
        <v>312</v>
      </c>
      <c r="B290" t="s">
        <v>18</v>
      </c>
      <c r="C290" s="2">
        <v>20</v>
      </c>
      <c r="D290">
        <v>29</v>
      </c>
      <c r="E290">
        <v>90.07</v>
      </c>
      <c r="F290" t="s">
        <v>22</v>
      </c>
      <c r="G290" t="s">
        <v>23</v>
      </c>
      <c r="H290" t="s">
        <v>16</v>
      </c>
      <c r="I290">
        <v>64</v>
      </c>
      <c r="J290">
        <v>6.9</v>
      </c>
      <c r="K290">
        <v>52.100789796221797</v>
      </c>
      <c r="L290" t="s">
        <v>16</v>
      </c>
      <c r="M290" t="str">
        <f>IF(Table2[[#This Row],[Final_Exam_Score]]&gt;= 50,"Pass","Fail")</f>
        <v>Pass</v>
      </c>
    </row>
    <row r="291" spans="1:13" x14ac:dyDescent="0.25">
      <c r="A291" t="s">
        <v>313</v>
      </c>
      <c r="B291" t="s">
        <v>18</v>
      </c>
      <c r="C291" s="2">
        <v>18</v>
      </c>
      <c r="D291">
        <v>22</v>
      </c>
      <c r="E291">
        <v>93.31</v>
      </c>
      <c r="F291" t="s">
        <v>14</v>
      </c>
      <c r="G291" t="s">
        <v>26</v>
      </c>
      <c r="H291" t="s">
        <v>24</v>
      </c>
      <c r="I291">
        <v>46</v>
      </c>
      <c r="J291">
        <v>8.8000000000000007</v>
      </c>
      <c r="K291">
        <v>41.528283151040696</v>
      </c>
      <c r="L291" t="s">
        <v>24</v>
      </c>
      <c r="M291" t="str">
        <f>IF(Table2[[#This Row],[Final_Exam_Score]]&gt;= 50,"Pass","Fail")</f>
        <v>Fail</v>
      </c>
    </row>
    <row r="292" spans="1:13" x14ac:dyDescent="0.25">
      <c r="A292" t="s">
        <v>314</v>
      </c>
      <c r="B292" t="s">
        <v>18</v>
      </c>
      <c r="C292" s="2">
        <v>16</v>
      </c>
      <c r="D292">
        <v>23</v>
      </c>
      <c r="E292">
        <v>94.81</v>
      </c>
      <c r="F292" t="s">
        <v>28</v>
      </c>
      <c r="G292" t="s">
        <v>23</v>
      </c>
      <c r="H292" t="s">
        <v>16</v>
      </c>
      <c r="I292">
        <v>94</v>
      </c>
      <c r="J292">
        <v>6.5</v>
      </c>
      <c r="K292">
        <v>62.323554228966302</v>
      </c>
      <c r="L292" t="s">
        <v>16</v>
      </c>
      <c r="M292" t="str">
        <f>IF(Table2[[#This Row],[Final_Exam_Score]]&gt;= 50,"Pass","Fail")</f>
        <v>Pass</v>
      </c>
    </row>
    <row r="293" spans="1:13" x14ac:dyDescent="0.25">
      <c r="A293" t="s">
        <v>315</v>
      </c>
      <c r="B293" t="s">
        <v>13</v>
      </c>
      <c r="C293" s="2">
        <v>20</v>
      </c>
      <c r="D293">
        <v>2</v>
      </c>
      <c r="E293">
        <v>99.97</v>
      </c>
      <c r="F293" t="s">
        <v>14</v>
      </c>
      <c r="G293" t="s">
        <v>26</v>
      </c>
      <c r="H293" t="s">
        <v>24</v>
      </c>
      <c r="I293">
        <v>65</v>
      </c>
      <c r="J293">
        <v>5.9</v>
      </c>
      <c r="K293">
        <v>57.116496438070897</v>
      </c>
      <c r="L293" t="s">
        <v>24</v>
      </c>
      <c r="M293" t="str">
        <f>IF(Table2[[#This Row],[Final_Exam_Score]]&gt;= 50,"Pass","Fail")</f>
        <v>Pass</v>
      </c>
    </row>
    <row r="294" spans="1:13" x14ac:dyDescent="0.25">
      <c r="A294" t="s">
        <v>316</v>
      </c>
      <c r="B294" t="s">
        <v>18</v>
      </c>
      <c r="C294" s="2">
        <v>21</v>
      </c>
      <c r="D294">
        <v>13</v>
      </c>
      <c r="E294">
        <v>75.099999999999994</v>
      </c>
      <c r="F294" t="s">
        <v>32</v>
      </c>
      <c r="G294" t="s">
        <v>23</v>
      </c>
      <c r="H294" t="s">
        <v>16</v>
      </c>
      <c r="I294">
        <v>72</v>
      </c>
      <c r="J294">
        <v>7.1</v>
      </c>
      <c r="K294">
        <v>40</v>
      </c>
      <c r="L294" t="s">
        <v>24</v>
      </c>
      <c r="M294" t="str">
        <f>IF(Table2[[#This Row],[Final_Exam_Score]]&gt;= 50,"Pass","Fail")</f>
        <v>Fail</v>
      </c>
    </row>
    <row r="295" spans="1:13" x14ac:dyDescent="0.25">
      <c r="A295" t="s">
        <v>317</v>
      </c>
      <c r="B295" t="s">
        <v>18</v>
      </c>
      <c r="C295" s="2">
        <v>18</v>
      </c>
      <c r="D295">
        <v>5</v>
      </c>
      <c r="E295">
        <v>80.73</v>
      </c>
      <c r="F295" t="s">
        <v>22</v>
      </c>
      <c r="G295" t="s">
        <v>26</v>
      </c>
      <c r="H295" t="s">
        <v>16</v>
      </c>
      <c r="I295">
        <v>65</v>
      </c>
      <c r="J295">
        <v>9</v>
      </c>
      <c r="K295">
        <v>42.572434699380103</v>
      </c>
      <c r="L295" t="s">
        <v>24</v>
      </c>
      <c r="M295" t="str">
        <f>IF(Table2[[#This Row],[Final_Exam_Score]]&gt;= 50,"Pass","Fail")</f>
        <v>Fail</v>
      </c>
    </row>
    <row r="296" spans="1:13" x14ac:dyDescent="0.25">
      <c r="A296" t="s">
        <v>318</v>
      </c>
      <c r="B296" t="s">
        <v>18</v>
      </c>
      <c r="C296" s="2">
        <v>16</v>
      </c>
      <c r="D296">
        <v>25</v>
      </c>
      <c r="E296">
        <v>84</v>
      </c>
      <c r="F296" t="s">
        <v>28</v>
      </c>
      <c r="G296" t="s">
        <v>23</v>
      </c>
      <c r="H296" t="s">
        <v>16</v>
      </c>
      <c r="I296">
        <v>69</v>
      </c>
      <c r="J296">
        <v>8.3000000000000007</v>
      </c>
      <c r="K296">
        <v>53.864138003037297</v>
      </c>
      <c r="L296" t="s">
        <v>16</v>
      </c>
      <c r="M296" t="str">
        <f>IF(Table2[[#This Row],[Final_Exam_Score]]&gt;= 50,"Pass","Fail")</f>
        <v>Pass</v>
      </c>
    </row>
    <row r="297" spans="1:13" x14ac:dyDescent="0.25">
      <c r="A297" t="s">
        <v>319</v>
      </c>
      <c r="B297" t="s">
        <v>13</v>
      </c>
      <c r="C297" s="2">
        <v>20</v>
      </c>
      <c r="D297">
        <v>4</v>
      </c>
      <c r="E297">
        <v>70.34</v>
      </c>
      <c r="F297" t="s">
        <v>19</v>
      </c>
      <c r="G297" t="s">
        <v>23</v>
      </c>
      <c r="H297" t="s">
        <v>24</v>
      </c>
      <c r="I297">
        <v>89</v>
      </c>
      <c r="J297">
        <v>6</v>
      </c>
      <c r="K297">
        <v>45.209729043433803</v>
      </c>
      <c r="L297" t="s">
        <v>24</v>
      </c>
      <c r="M297" t="str">
        <f>IF(Table2[[#This Row],[Final_Exam_Score]]&gt;= 50,"Pass","Fail")</f>
        <v>Fail</v>
      </c>
    </row>
    <row r="298" spans="1:13" x14ac:dyDescent="0.25">
      <c r="A298" t="s">
        <v>320</v>
      </c>
      <c r="B298" t="s">
        <v>13</v>
      </c>
      <c r="C298" s="2">
        <v>17</v>
      </c>
      <c r="D298">
        <v>28</v>
      </c>
      <c r="E298">
        <v>81.83</v>
      </c>
      <c r="F298" t="s">
        <v>28</v>
      </c>
      <c r="G298" t="s">
        <v>26</v>
      </c>
      <c r="H298" t="s">
        <v>24</v>
      </c>
      <c r="I298">
        <v>82</v>
      </c>
      <c r="J298">
        <v>4.2</v>
      </c>
      <c r="K298">
        <v>56.724751468281099</v>
      </c>
      <c r="L298" t="s">
        <v>16</v>
      </c>
      <c r="M298" t="str">
        <f>IF(Table2[[#This Row],[Final_Exam_Score]]&gt;= 50,"Pass","Fail")</f>
        <v>Pass</v>
      </c>
    </row>
    <row r="299" spans="1:13" x14ac:dyDescent="0.25">
      <c r="A299" t="s">
        <v>321</v>
      </c>
      <c r="B299" t="s">
        <v>13</v>
      </c>
      <c r="C299" s="2">
        <v>19</v>
      </c>
      <c r="D299">
        <v>7</v>
      </c>
      <c r="E299">
        <v>74.69</v>
      </c>
      <c r="F299" t="s">
        <v>28</v>
      </c>
      <c r="G299" t="s">
        <v>26</v>
      </c>
      <c r="H299" t="s">
        <v>16</v>
      </c>
      <c r="I299">
        <v>94</v>
      </c>
      <c r="J299">
        <v>6</v>
      </c>
      <c r="K299">
        <v>56.152384574367197</v>
      </c>
      <c r="L299" t="s">
        <v>24</v>
      </c>
      <c r="M299" t="str">
        <f>IF(Table2[[#This Row],[Final_Exam_Score]]&gt;= 50,"Pass","Fail")</f>
        <v>Pass</v>
      </c>
    </row>
    <row r="300" spans="1:13" x14ac:dyDescent="0.25">
      <c r="A300" t="s">
        <v>322</v>
      </c>
      <c r="B300" t="s">
        <v>13</v>
      </c>
      <c r="C300" s="2">
        <v>15</v>
      </c>
      <c r="D300">
        <v>2</v>
      </c>
      <c r="E300">
        <v>94.29</v>
      </c>
      <c r="F300" t="s">
        <v>19</v>
      </c>
      <c r="G300" t="s">
        <v>15</v>
      </c>
      <c r="H300" t="s">
        <v>16</v>
      </c>
      <c r="I300">
        <v>87</v>
      </c>
      <c r="J300">
        <v>7.8</v>
      </c>
      <c r="K300">
        <v>56.053926147251701</v>
      </c>
      <c r="L300" t="s">
        <v>24</v>
      </c>
      <c r="M300" t="str">
        <f>IF(Table2[[#This Row],[Final_Exam_Score]]&gt;= 50,"Pass","Fail")</f>
        <v>Pass</v>
      </c>
    </row>
    <row r="301" spans="1:13" x14ac:dyDescent="0.25">
      <c r="A301" t="s">
        <v>323</v>
      </c>
      <c r="B301" t="s">
        <v>18</v>
      </c>
      <c r="C301" s="2">
        <v>21</v>
      </c>
      <c r="D301">
        <v>18</v>
      </c>
      <c r="E301">
        <v>77.150000000000006</v>
      </c>
      <c r="F301" t="s">
        <v>28</v>
      </c>
      <c r="G301" t="s">
        <v>23</v>
      </c>
      <c r="H301" t="s">
        <v>24</v>
      </c>
      <c r="I301">
        <v>92</v>
      </c>
      <c r="J301">
        <v>4</v>
      </c>
      <c r="K301">
        <v>61.745045942559898</v>
      </c>
      <c r="L301" t="s">
        <v>24</v>
      </c>
      <c r="M301" t="str">
        <f>IF(Table2[[#This Row],[Final_Exam_Score]]&gt;= 50,"Pass","Fail")</f>
        <v>Pass</v>
      </c>
    </row>
    <row r="302" spans="1:13" x14ac:dyDescent="0.25">
      <c r="A302" t="s">
        <v>324</v>
      </c>
      <c r="B302" t="s">
        <v>13</v>
      </c>
      <c r="C302" s="2">
        <v>21</v>
      </c>
      <c r="D302">
        <v>4</v>
      </c>
      <c r="E302">
        <v>67.86</v>
      </c>
      <c r="F302" t="s">
        <v>28</v>
      </c>
      <c r="G302" t="s">
        <v>23</v>
      </c>
      <c r="H302" t="s">
        <v>24</v>
      </c>
      <c r="I302">
        <v>52</v>
      </c>
      <c r="J302">
        <v>8.1999999999999993</v>
      </c>
      <c r="K302">
        <v>41.0565030357727</v>
      </c>
      <c r="L302" t="s">
        <v>24</v>
      </c>
      <c r="M302" t="str">
        <f>IF(Table2[[#This Row],[Final_Exam_Score]]&gt;= 50,"Pass","Fail")</f>
        <v>Fail</v>
      </c>
    </row>
    <row r="303" spans="1:13" x14ac:dyDescent="0.25">
      <c r="A303" t="s">
        <v>325</v>
      </c>
      <c r="B303" t="s">
        <v>18</v>
      </c>
      <c r="C303" s="2">
        <v>17</v>
      </c>
      <c r="D303">
        <v>20</v>
      </c>
      <c r="E303">
        <v>65.349999999999994</v>
      </c>
      <c r="F303" t="s">
        <v>32</v>
      </c>
      <c r="G303" t="s">
        <v>15</v>
      </c>
      <c r="H303" t="s">
        <v>24</v>
      </c>
      <c r="I303">
        <v>54</v>
      </c>
      <c r="J303">
        <v>5.3</v>
      </c>
      <c r="K303">
        <v>40</v>
      </c>
      <c r="L303" t="s">
        <v>24</v>
      </c>
      <c r="M303" t="str">
        <f>IF(Table2[[#This Row],[Final_Exam_Score]]&gt;= 50,"Pass","Fail")</f>
        <v>Fail</v>
      </c>
    </row>
    <row r="304" spans="1:13" x14ac:dyDescent="0.25">
      <c r="A304" t="s">
        <v>326</v>
      </c>
      <c r="B304" t="s">
        <v>18</v>
      </c>
      <c r="C304" s="2">
        <v>20</v>
      </c>
      <c r="D304">
        <v>4</v>
      </c>
      <c r="E304">
        <v>95.12</v>
      </c>
      <c r="F304" t="s">
        <v>19</v>
      </c>
      <c r="G304" t="s">
        <v>26</v>
      </c>
      <c r="H304" t="s">
        <v>16</v>
      </c>
      <c r="I304">
        <v>69</v>
      </c>
      <c r="J304">
        <v>5.8</v>
      </c>
      <c r="K304">
        <v>48.261839594516097</v>
      </c>
      <c r="L304" t="s">
        <v>16</v>
      </c>
      <c r="M304" t="str">
        <f>IF(Table2[[#This Row],[Final_Exam_Score]]&gt;= 50,"Pass","Fail")</f>
        <v>Fail</v>
      </c>
    </row>
    <row r="305" spans="1:13" x14ac:dyDescent="0.25">
      <c r="A305" t="s">
        <v>327</v>
      </c>
      <c r="B305" t="s">
        <v>18</v>
      </c>
      <c r="C305" s="2">
        <v>21</v>
      </c>
      <c r="D305">
        <v>25</v>
      </c>
      <c r="E305">
        <v>95.06</v>
      </c>
      <c r="F305" t="s">
        <v>14</v>
      </c>
      <c r="G305" t="s">
        <v>26</v>
      </c>
      <c r="H305" t="s">
        <v>16</v>
      </c>
      <c r="I305">
        <v>61</v>
      </c>
      <c r="J305">
        <v>8.6</v>
      </c>
      <c r="K305">
        <v>43.815393053054102</v>
      </c>
      <c r="L305" t="s">
        <v>16</v>
      </c>
      <c r="M305" t="str">
        <f>IF(Table2[[#This Row],[Final_Exam_Score]]&gt;= 50,"Pass","Fail")</f>
        <v>Fail</v>
      </c>
    </row>
    <row r="306" spans="1:13" x14ac:dyDescent="0.25">
      <c r="A306" t="s">
        <v>328</v>
      </c>
      <c r="B306" t="s">
        <v>18</v>
      </c>
      <c r="C306" s="2">
        <v>20</v>
      </c>
      <c r="D306">
        <v>10</v>
      </c>
      <c r="E306">
        <v>97.69</v>
      </c>
      <c r="F306" t="s">
        <v>28</v>
      </c>
      <c r="G306" t="s">
        <v>15</v>
      </c>
      <c r="H306" t="s">
        <v>16</v>
      </c>
      <c r="I306">
        <v>69</v>
      </c>
      <c r="J306">
        <v>5.9</v>
      </c>
      <c r="K306">
        <v>49.875478890012602</v>
      </c>
      <c r="L306" t="s">
        <v>24</v>
      </c>
      <c r="M306" t="str">
        <f>IF(Table2[[#This Row],[Final_Exam_Score]]&gt;= 50,"Pass","Fail")</f>
        <v>Fail</v>
      </c>
    </row>
    <row r="307" spans="1:13" x14ac:dyDescent="0.25">
      <c r="A307" t="s">
        <v>329</v>
      </c>
      <c r="B307" t="s">
        <v>13</v>
      </c>
      <c r="C307" s="2">
        <v>15</v>
      </c>
      <c r="D307">
        <v>19</v>
      </c>
      <c r="E307">
        <v>67.540000000000006</v>
      </c>
      <c r="F307" t="s">
        <v>28</v>
      </c>
      <c r="G307" t="s">
        <v>23</v>
      </c>
      <c r="H307" t="s">
        <v>16</v>
      </c>
      <c r="I307">
        <v>87</v>
      </c>
      <c r="J307">
        <v>6.4</v>
      </c>
      <c r="K307">
        <v>46.752635859996502</v>
      </c>
      <c r="L307" t="s">
        <v>16</v>
      </c>
      <c r="M307" t="str">
        <f>IF(Table2[[#This Row],[Final_Exam_Score]]&gt;= 50,"Pass","Fail")</f>
        <v>Fail</v>
      </c>
    </row>
    <row r="308" spans="1:13" x14ac:dyDescent="0.25">
      <c r="A308" t="s">
        <v>330</v>
      </c>
      <c r="B308" t="s">
        <v>18</v>
      </c>
      <c r="C308" s="2">
        <v>16</v>
      </c>
      <c r="D308">
        <v>2</v>
      </c>
      <c r="E308">
        <v>78.819999999999993</v>
      </c>
      <c r="F308" t="s">
        <v>32</v>
      </c>
      <c r="G308" t="s">
        <v>15</v>
      </c>
      <c r="H308" t="s">
        <v>16</v>
      </c>
      <c r="I308">
        <v>88</v>
      </c>
      <c r="J308">
        <v>6.2</v>
      </c>
      <c r="K308">
        <v>51.618368831527498</v>
      </c>
      <c r="L308" t="s">
        <v>16</v>
      </c>
      <c r="M308" t="str">
        <f>IF(Table2[[#This Row],[Final_Exam_Score]]&gt;= 50,"Pass","Fail")</f>
        <v>Pass</v>
      </c>
    </row>
    <row r="309" spans="1:13" x14ac:dyDescent="0.25">
      <c r="A309" t="s">
        <v>331</v>
      </c>
      <c r="B309" t="s">
        <v>18</v>
      </c>
      <c r="C309" s="2">
        <v>15</v>
      </c>
      <c r="D309">
        <v>12</v>
      </c>
      <c r="E309">
        <v>79.989999999999995</v>
      </c>
      <c r="F309" t="s">
        <v>28</v>
      </c>
      <c r="G309" t="s">
        <v>26</v>
      </c>
      <c r="H309" t="s">
        <v>16</v>
      </c>
      <c r="I309">
        <v>64</v>
      </c>
      <c r="J309">
        <v>5.8</v>
      </c>
      <c r="K309">
        <v>49.315112484318497</v>
      </c>
      <c r="L309" t="s">
        <v>24</v>
      </c>
      <c r="M309" t="str">
        <f>IF(Table2[[#This Row],[Final_Exam_Score]]&gt;= 50,"Pass","Fail")</f>
        <v>Fail</v>
      </c>
    </row>
    <row r="310" spans="1:13" x14ac:dyDescent="0.25">
      <c r="A310" t="s">
        <v>332</v>
      </c>
      <c r="B310" t="s">
        <v>18</v>
      </c>
      <c r="C310" s="2">
        <v>20</v>
      </c>
      <c r="D310">
        <v>27</v>
      </c>
      <c r="E310">
        <v>95.13</v>
      </c>
      <c r="F310" t="s">
        <v>32</v>
      </c>
      <c r="G310" t="s">
        <v>26</v>
      </c>
      <c r="H310" t="s">
        <v>24</v>
      </c>
      <c r="I310">
        <v>64</v>
      </c>
      <c r="J310">
        <v>4.4000000000000004</v>
      </c>
      <c r="K310">
        <v>54.792113221837297</v>
      </c>
      <c r="L310" t="s">
        <v>24</v>
      </c>
      <c r="M310" t="str">
        <f>IF(Table2[[#This Row],[Final_Exam_Score]]&gt;= 50,"Pass","Fail")</f>
        <v>Pass</v>
      </c>
    </row>
    <row r="311" spans="1:13" x14ac:dyDescent="0.25">
      <c r="A311" t="s">
        <v>333</v>
      </c>
      <c r="B311" t="s">
        <v>18</v>
      </c>
      <c r="C311" s="2">
        <v>18</v>
      </c>
      <c r="D311">
        <v>25</v>
      </c>
      <c r="E311">
        <v>74.150000000000006</v>
      </c>
      <c r="F311" t="s">
        <v>32</v>
      </c>
      <c r="G311" t="s">
        <v>26</v>
      </c>
      <c r="H311" t="s">
        <v>16</v>
      </c>
      <c r="I311">
        <v>69</v>
      </c>
      <c r="J311">
        <v>6.1</v>
      </c>
      <c r="K311">
        <v>50.386078926209002</v>
      </c>
      <c r="L311" t="s">
        <v>16</v>
      </c>
      <c r="M311" t="str">
        <f>IF(Table2[[#This Row],[Final_Exam_Score]]&gt;= 50,"Pass","Fail")</f>
        <v>Pass</v>
      </c>
    </row>
    <row r="312" spans="1:13" x14ac:dyDescent="0.25">
      <c r="A312" t="s">
        <v>334</v>
      </c>
      <c r="B312" t="s">
        <v>18</v>
      </c>
      <c r="C312" s="2">
        <v>15</v>
      </c>
      <c r="D312">
        <v>23</v>
      </c>
      <c r="E312">
        <v>75.58</v>
      </c>
      <c r="F312" t="s">
        <v>28</v>
      </c>
      <c r="G312" t="s">
        <v>15</v>
      </c>
      <c r="H312" t="s">
        <v>16</v>
      </c>
      <c r="I312">
        <v>68</v>
      </c>
      <c r="J312">
        <v>6.5</v>
      </c>
      <c r="K312">
        <v>53.251062918985603</v>
      </c>
      <c r="L312" t="s">
        <v>24</v>
      </c>
      <c r="M312" t="str">
        <f>IF(Table2[[#This Row],[Final_Exam_Score]]&gt;= 50,"Pass","Fail")</f>
        <v>Pass</v>
      </c>
    </row>
    <row r="313" spans="1:13" x14ac:dyDescent="0.25">
      <c r="A313" t="s">
        <v>335</v>
      </c>
      <c r="B313" t="s">
        <v>18</v>
      </c>
      <c r="C313" s="2">
        <v>16</v>
      </c>
      <c r="D313">
        <v>29</v>
      </c>
      <c r="E313">
        <v>90.65</v>
      </c>
      <c r="F313" t="s">
        <v>28</v>
      </c>
      <c r="G313" t="s">
        <v>23</v>
      </c>
      <c r="H313" t="s">
        <v>16</v>
      </c>
      <c r="I313">
        <v>46</v>
      </c>
      <c r="J313">
        <v>5.0999999999999996</v>
      </c>
      <c r="K313">
        <v>50.585999360312201</v>
      </c>
      <c r="L313" t="s">
        <v>24</v>
      </c>
      <c r="M313" t="str">
        <f>IF(Table2[[#This Row],[Final_Exam_Score]]&gt;= 50,"Pass","Fail")</f>
        <v>Pass</v>
      </c>
    </row>
    <row r="314" spans="1:13" x14ac:dyDescent="0.25">
      <c r="A314" t="s">
        <v>336</v>
      </c>
      <c r="B314" t="s">
        <v>13</v>
      </c>
      <c r="C314" s="2">
        <v>21</v>
      </c>
      <c r="D314">
        <v>26</v>
      </c>
      <c r="E314">
        <v>71.3</v>
      </c>
      <c r="F314" t="s">
        <v>28</v>
      </c>
      <c r="G314" t="s">
        <v>26</v>
      </c>
      <c r="H314" t="s">
        <v>24</v>
      </c>
      <c r="I314">
        <v>78</v>
      </c>
      <c r="J314">
        <v>8.1</v>
      </c>
      <c r="K314">
        <v>49.116930579674502</v>
      </c>
      <c r="L314" t="s">
        <v>24</v>
      </c>
      <c r="M314" t="str">
        <f>IF(Table2[[#This Row],[Final_Exam_Score]]&gt;= 50,"Pass","Fail")</f>
        <v>Fail</v>
      </c>
    </row>
    <row r="315" spans="1:13" x14ac:dyDescent="0.25">
      <c r="A315" t="s">
        <v>337</v>
      </c>
      <c r="B315" t="s">
        <v>13</v>
      </c>
      <c r="C315" s="2">
        <v>20</v>
      </c>
      <c r="D315">
        <v>2</v>
      </c>
      <c r="E315">
        <v>87.24</v>
      </c>
      <c r="F315" t="s">
        <v>19</v>
      </c>
      <c r="G315" t="s">
        <v>23</v>
      </c>
      <c r="H315" t="s">
        <v>24</v>
      </c>
      <c r="I315">
        <v>49</v>
      </c>
      <c r="J315">
        <v>6.5</v>
      </c>
      <c r="K315">
        <v>43.5785723551977</v>
      </c>
      <c r="L315" t="s">
        <v>24</v>
      </c>
      <c r="M315" t="str">
        <f>IF(Table2[[#This Row],[Final_Exam_Score]]&gt;= 50,"Pass","Fail")</f>
        <v>Fail</v>
      </c>
    </row>
    <row r="316" spans="1:13" x14ac:dyDescent="0.25">
      <c r="A316" t="s">
        <v>338</v>
      </c>
      <c r="B316" t="s">
        <v>18</v>
      </c>
      <c r="C316" s="2">
        <v>21</v>
      </c>
      <c r="D316">
        <v>20</v>
      </c>
      <c r="E316">
        <v>90.98</v>
      </c>
      <c r="F316" t="s">
        <v>22</v>
      </c>
      <c r="G316" t="s">
        <v>26</v>
      </c>
      <c r="H316" t="s">
        <v>16</v>
      </c>
      <c r="I316">
        <v>99</v>
      </c>
      <c r="J316">
        <v>5.2</v>
      </c>
      <c r="K316">
        <v>60.013889292086297</v>
      </c>
      <c r="L316" t="s">
        <v>24</v>
      </c>
      <c r="M316" t="str">
        <f>IF(Table2[[#This Row],[Final_Exam_Score]]&gt;= 50,"Pass","Fail")</f>
        <v>Pass</v>
      </c>
    </row>
    <row r="317" spans="1:13" x14ac:dyDescent="0.25">
      <c r="A317" t="s">
        <v>339</v>
      </c>
      <c r="B317" t="s">
        <v>13</v>
      </c>
      <c r="C317" s="2">
        <v>15</v>
      </c>
      <c r="D317">
        <v>7</v>
      </c>
      <c r="E317">
        <v>71.319999999999993</v>
      </c>
      <c r="F317" t="s">
        <v>22</v>
      </c>
      <c r="G317" t="s">
        <v>26</v>
      </c>
      <c r="H317" t="s">
        <v>24</v>
      </c>
      <c r="I317">
        <v>46</v>
      </c>
      <c r="J317">
        <v>4.5</v>
      </c>
      <c r="K317">
        <v>40</v>
      </c>
      <c r="L317" t="s">
        <v>24</v>
      </c>
      <c r="M317" t="str">
        <f>IF(Table2[[#This Row],[Final_Exam_Score]]&gt;= 50,"Pass","Fail")</f>
        <v>Fail</v>
      </c>
    </row>
    <row r="318" spans="1:13" x14ac:dyDescent="0.25">
      <c r="A318" t="s">
        <v>340</v>
      </c>
      <c r="B318" t="s">
        <v>13</v>
      </c>
      <c r="C318" s="2">
        <v>21</v>
      </c>
      <c r="D318">
        <v>27</v>
      </c>
      <c r="E318">
        <v>72.77</v>
      </c>
      <c r="F318" t="s">
        <v>32</v>
      </c>
      <c r="G318" t="s">
        <v>26</v>
      </c>
      <c r="H318" t="s">
        <v>16</v>
      </c>
      <c r="I318">
        <v>45</v>
      </c>
      <c r="J318">
        <v>6.9</v>
      </c>
      <c r="K318">
        <v>44.282752941837202</v>
      </c>
      <c r="L318" t="s">
        <v>16</v>
      </c>
      <c r="M318" t="str">
        <f>IF(Table2[[#This Row],[Final_Exam_Score]]&gt;= 50,"Pass","Fail")</f>
        <v>Fail</v>
      </c>
    </row>
    <row r="319" spans="1:13" x14ac:dyDescent="0.25">
      <c r="A319" t="s">
        <v>341</v>
      </c>
      <c r="B319" t="s">
        <v>18</v>
      </c>
      <c r="C319" s="2">
        <v>19</v>
      </c>
      <c r="D319">
        <v>22</v>
      </c>
      <c r="E319">
        <v>89.49</v>
      </c>
      <c r="F319" t="s">
        <v>19</v>
      </c>
      <c r="G319" t="s">
        <v>26</v>
      </c>
      <c r="H319" t="s">
        <v>16</v>
      </c>
      <c r="I319">
        <v>97</v>
      </c>
      <c r="J319">
        <v>6.4</v>
      </c>
      <c r="K319">
        <v>64.185972297291102</v>
      </c>
      <c r="L319" t="s">
        <v>16</v>
      </c>
      <c r="M319" t="str">
        <f>IF(Table2[[#This Row],[Final_Exam_Score]]&gt;= 50,"Pass","Fail")</f>
        <v>Pass</v>
      </c>
    </row>
    <row r="320" spans="1:13" x14ac:dyDescent="0.25">
      <c r="A320" t="s">
        <v>342</v>
      </c>
      <c r="B320" t="s">
        <v>13</v>
      </c>
      <c r="C320" s="2">
        <v>16</v>
      </c>
      <c r="D320">
        <v>6</v>
      </c>
      <c r="E320">
        <v>92.81</v>
      </c>
      <c r="F320" t="s">
        <v>19</v>
      </c>
      <c r="G320" t="s">
        <v>23</v>
      </c>
      <c r="H320" t="s">
        <v>16</v>
      </c>
      <c r="I320">
        <v>59</v>
      </c>
      <c r="J320">
        <v>7.6</v>
      </c>
      <c r="K320">
        <v>43.846222415164902</v>
      </c>
      <c r="L320" t="s">
        <v>24</v>
      </c>
      <c r="M320" t="str">
        <f>IF(Table2[[#This Row],[Final_Exam_Score]]&gt;= 50,"Pass","Fail")</f>
        <v>Fail</v>
      </c>
    </row>
    <row r="321" spans="1:13" x14ac:dyDescent="0.25">
      <c r="A321" t="s">
        <v>343</v>
      </c>
      <c r="B321" t="s">
        <v>18</v>
      </c>
      <c r="C321" s="2">
        <v>19</v>
      </c>
      <c r="D321">
        <v>19</v>
      </c>
      <c r="E321">
        <v>98.37</v>
      </c>
      <c r="F321" t="s">
        <v>14</v>
      </c>
      <c r="G321" t="s">
        <v>15</v>
      </c>
      <c r="H321" t="s">
        <v>16</v>
      </c>
      <c r="I321">
        <v>57</v>
      </c>
      <c r="J321">
        <v>8.9</v>
      </c>
      <c r="K321">
        <v>49.037654396799802</v>
      </c>
      <c r="L321" t="s">
        <v>24</v>
      </c>
      <c r="M321" t="str">
        <f>IF(Table2[[#This Row],[Final_Exam_Score]]&gt;= 50,"Pass","Fail")</f>
        <v>Fail</v>
      </c>
    </row>
    <row r="322" spans="1:13" x14ac:dyDescent="0.25">
      <c r="A322" t="s">
        <v>344</v>
      </c>
      <c r="B322" t="s">
        <v>18</v>
      </c>
      <c r="C322" s="2">
        <v>17</v>
      </c>
      <c r="D322">
        <v>14</v>
      </c>
      <c r="E322">
        <v>75.8</v>
      </c>
      <c r="F322" t="s">
        <v>14</v>
      </c>
      <c r="G322" t="s">
        <v>26</v>
      </c>
      <c r="H322" t="s">
        <v>24</v>
      </c>
      <c r="I322">
        <v>67</v>
      </c>
      <c r="J322">
        <v>5</v>
      </c>
      <c r="K322">
        <v>52.726716815580502</v>
      </c>
      <c r="L322" t="s">
        <v>24</v>
      </c>
      <c r="M322" t="str">
        <f>IF(Table2[[#This Row],[Final_Exam_Score]]&gt;= 50,"Pass","Fail")</f>
        <v>Pass</v>
      </c>
    </row>
    <row r="323" spans="1:13" x14ac:dyDescent="0.25">
      <c r="A323" t="s">
        <v>345</v>
      </c>
      <c r="B323" t="s">
        <v>18</v>
      </c>
      <c r="C323" s="2">
        <v>21</v>
      </c>
      <c r="D323">
        <v>16</v>
      </c>
      <c r="E323">
        <v>84.2</v>
      </c>
      <c r="F323" t="s">
        <v>22</v>
      </c>
      <c r="G323" t="s">
        <v>23</v>
      </c>
      <c r="H323" t="s">
        <v>24</v>
      </c>
      <c r="I323">
        <v>67</v>
      </c>
      <c r="J323">
        <v>7.7</v>
      </c>
      <c r="K323">
        <v>48.780084726867699</v>
      </c>
      <c r="L323" t="s">
        <v>24</v>
      </c>
      <c r="M323" t="str">
        <f>IF(Table2[[#This Row],[Final_Exam_Score]]&gt;= 50,"Pass","Fail")</f>
        <v>Fail</v>
      </c>
    </row>
    <row r="324" spans="1:13" x14ac:dyDescent="0.25">
      <c r="A324" t="s">
        <v>346</v>
      </c>
      <c r="B324" t="s">
        <v>18</v>
      </c>
      <c r="C324" s="2">
        <v>19</v>
      </c>
      <c r="D324">
        <v>21</v>
      </c>
      <c r="E324">
        <v>70.14</v>
      </c>
      <c r="F324" t="s">
        <v>19</v>
      </c>
      <c r="G324" t="s">
        <v>26</v>
      </c>
      <c r="H324" t="s">
        <v>24</v>
      </c>
      <c r="I324">
        <v>49</v>
      </c>
      <c r="J324">
        <v>6.2</v>
      </c>
      <c r="K324">
        <v>43.655360490285098</v>
      </c>
      <c r="L324" t="s">
        <v>16</v>
      </c>
      <c r="M324" t="str">
        <f>IF(Table2[[#This Row],[Final_Exam_Score]]&gt;= 50,"Pass","Fail")</f>
        <v>Fail</v>
      </c>
    </row>
    <row r="325" spans="1:13" x14ac:dyDescent="0.25">
      <c r="A325" t="s">
        <v>347</v>
      </c>
      <c r="B325" t="s">
        <v>18</v>
      </c>
      <c r="C325" s="2">
        <v>17</v>
      </c>
      <c r="D325">
        <v>17</v>
      </c>
      <c r="E325">
        <v>80.290000000000006</v>
      </c>
      <c r="F325" t="s">
        <v>28</v>
      </c>
      <c r="G325" t="s">
        <v>15</v>
      </c>
      <c r="H325" t="s">
        <v>24</v>
      </c>
      <c r="I325">
        <v>86</v>
      </c>
      <c r="J325">
        <v>6</v>
      </c>
      <c r="K325">
        <v>59.158353480221102</v>
      </c>
      <c r="L325" t="s">
        <v>24</v>
      </c>
      <c r="M325" t="str">
        <f>IF(Table2[[#This Row],[Final_Exam_Score]]&gt;= 50,"Pass","Fail")</f>
        <v>Pass</v>
      </c>
    </row>
    <row r="326" spans="1:13" x14ac:dyDescent="0.25">
      <c r="A326" t="s">
        <v>348</v>
      </c>
      <c r="B326" t="s">
        <v>18</v>
      </c>
      <c r="C326" s="2">
        <v>16</v>
      </c>
      <c r="D326">
        <v>23</v>
      </c>
      <c r="E326">
        <v>74.14</v>
      </c>
      <c r="F326" t="s">
        <v>32</v>
      </c>
      <c r="G326" t="s">
        <v>26</v>
      </c>
      <c r="H326" t="s">
        <v>24</v>
      </c>
      <c r="I326">
        <v>48</v>
      </c>
      <c r="J326">
        <v>5.4</v>
      </c>
      <c r="K326">
        <v>51.366493822289897</v>
      </c>
      <c r="L326" t="s">
        <v>16</v>
      </c>
      <c r="M326" t="str">
        <f>IF(Table2[[#This Row],[Final_Exam_Score]]&gt;= 50,"Pass","Fail")</f>
        <v>Pass</v>
      </c>
    </row>
    <row r="327" spans="1:13" x14ac:dyDescent="0.25">
      <c r="A327" t="s">
        <v>349</v>
      </c>
      <c r="B327" t="s">
        <v>13</v>
      </c>
      <c r="C327" s="2">
        <v>15</v>
      </c>
      <c r="D327">
        <v>29</v>
      </c>
      <c r="E327">
        <v>77.209999999999994</v>
      </c>
      <c r="F327" t="s">
        <v>14</v>
      </c>
      <c r="G327" t="s">
        <v>26</v>
      </c>
      <c r="H327" t="s">
        <v>24</v>
      </c>
      <c r="I327">
        <v>98</v>
      </c>
      <c r="J327">
        <v>5.8</v>
      </c>
      <c r="K327">
        <v>70.258579015496395</v>
      </c>
      <c r="L327" t="s">
        <v>16</v>
      </c>
      <c r="M327" t="str">
        <f>IF(Table2[[#This Row],[Final_Exam_Score]]&gt;= 50,"Pass","Fail")</f>
        <v>Pass</v>
      </c>
    </row>
    <row r="328" spans="1:13" x14ac:dyDescent="0.25">
      <c r="A328" t="s">
        <v>350</v>
      </c>
      <c r="B328" t="s">
        <v>18</v>
      </c>
      <c r="C328" s="2">
        <v>16</v>
      </c>
      <c r="D328">
        <v>26</v>
      </c>
      <c r="E328">
        <v>93.12</v>
      </c>
      <c r="F328" t="s">
        <v>28</v>
      </c>
      <c r="G328" t="s">
        <v>15</v>
      </c>
      <c r="H328" t="s">
        <v>24</v>
      </c>
      <c r="I328">
        <v>47</v>
      </c>
      <c r="J328">
        <v>4.5999999999999996</v>
      </c>
      <c r="K328">
        <v>48.746425045670399</v>
      </c>
      <c r="L328" t="s">
        <v>16</v>
      </c>
      <c r="M328" t="str">
        <f>IF(Table2[[#This Row],[Final_Exam_Score]]&gt;= 50,"Pass","Fail")</f>
        <v>Fail</v>
      </c>
    </row>
    <row r="329" spans="1:13" x14ac:dyDescent="0.25">
      <c r="A329" t="s">
        <v>351</v>
      </c>
      <c r="B329" t="s">
        <v>18</v>
      </c>
      <c r="C329" s="2">
        <v>18</v>
      </c>
      <c r="D329">
        <v>6</v>
      </c>
      <c r="E329">
        <v>93.11</v>
      </c>
      <c r="F329" t="s">
        <v>32</v>
      </c>
      <c r="G329" t="s">
        <v>26</v>
      </c>
      <c r="H329" t="s">
        <v>16</v>
      </c>
      <c r="I329">
        <v>48</v>
      </c>
      <c r="J329">
        <v>6.3</v>
      </c>
      <c r="K329">
        <v>43.219704753591898</v>
      </c>
      <c r="L329" t="s">
        <v>24</v>
      </c>
      <c r="M329" t="str">
        <f>IF(Table2[[#This Row],[Final_Exam_Score]]&gt;= 50,"Pass","Fail")</f>
        <v>Fail</v>
      </c>
    </row>
    <row r="330" spans="1:13" x14ac:dyDescent="0.25">
      <c r="A330" t="s">
        <v>352</v>
      </c>
      <c r="B330" t="s">
        <v>18</v>
      </c>
      <c r="C330" s="2">
        <v>16</v>
      </c>
      <c r="D330">
        <v>20</v>
      </c>
      <c r="E330">
        <v>89.66</v>
      </c>
      <c r="F330" t="s">
        <v>19</v>
      </c>
      <c r="G330" t="s">
        <v>23</v>
      </c>
      <c r="H330" t="s">
        <v>16</v>
      </c>
      <c r="I330">
        <v>70</v>
      </c>
      <c r="J330">
        <v>6.9</v>
      </c>
      <c r="K330">
        <v>52.7766707695138</v>
      </c>
      <c r="L330" t="s">
        <v>16</v>
      </c>
      <c r="M330" t="str">
        <f>IF(Table2[[#This Row],[Final_Exam_Score]]&gt;= 50,"Pass","Fail")</f>
        <v>Pass</v>
      </c>
    </row>
    <row r="331" spans="1:13" x14ac:dyDescent="0.25">
      <c r="A331" t="s">
        <v>353</v>
      </c>
      <c r="B331" t="s">
        <v>13</v>
      </c>
      <c r="C331" s="2">
        <v>16</v>
      </c>
      <c r="D331">
        <v>10</v>
      </c>
      <c r="E331">
        <v>69.33</v>
      </c>
      <c r="F331" t="s">
        <v>14</v>
      </c>
      <c r="G331" t="s">
        <v>26</v>
      </c>
      <c r="H331" t="s">
        <v>24</v>
      </c>
      <c r="I331">
        <v>64</v>
      </c>
      <c r="J331">
        <v>5.4</v>
      </c>
      <c r="K331">
        <v>41.654781189036299</v>
      </c>
      <c r="L331" t="s">
        <v>16</v>
      </c>
      <c r="M331" t="str">
        <f>IF(Table2[[#This Row],[Final_Exam_Score]]&gt;= 50,"Pass","Fail")</f>
        <v>Fail</v>
      </c>
    </row>
    <row r="332" spans="1:13" x14ac:dyDescent="0.25">
      <c r="A332" t="s">
        <v>354</v>
      </c>
      <c r="B332" t="s">
        <v>13</v>
      </c>
      <c r="C332" s="2">
        <v>20</v>
      </c>
      <c r="D332">
        <v>27</v>
      </c>
      <c r="E332">
        <v>74.94</v>
      </c>
      <c r="F332" t="s">
        <v>14</v>
      </c>
      <c r="G332" t="s">
        <v>15</v>
      </c>
      <c r="H332" t="s">
        <v>16</v>
      </c>
      <c r="I332">
        <v>52</v>
      </c>
      <c r="J332">
        <v>6.3</v>
      </c>
      <c r="K332">
        <v>43.825654281466498</v>
      </c>
      <c r="L332" t="s">
        <v>24</v>
      </c>
      <c r="M332" t="str">
        <f>IF(Table2[[#This Row],[Final_Exam_Score]]&gt;= 50,"Pass","Fail")</f>
        <v>Fail</v>
      </c>
    </row>
    <row r="333" spans="1:13" x14ac:dyDescent="0.25">
      <c r="A333" t="s">
        <v>355</v>
      </c>
      <c r="B333" t="s">
        <v>13</v>
      </c>
      <c r="C333" s="2">
        <v>18</v>
      </c>
      <c r="D333">
        <v>21</v>
      </c>
      <c r="E333">
        <v>97.88</v>
      </c>
      <c r="F333" t="s">
        <v>22</v>
      </c>
      <c r="G333" t="s">
        <v>15</v>
      </c>
      <c r="H333" t="s">
        <v>24</v>
      </c>
      <c r="I333">
        <v>78</v>
      </c>
      <c r="J333">
        <v>6.4</v>
      </c>
      <c r="K333">
        <v>57.198000528709002</v>
      </c>
      <c r="L333" t="s">
        <v>24</v>
      </c>
      <c r="M333" t="str">
        <f>IF(Table2[[#This Row],[Final_Exam_Score]]&gt;= 50,"Pass","Fail")</f>
        <v>Pass</v>
      </c>
    </row>
    <row r="334" spans="1:13" x14ac:dyDescent="0.25">
      <c r="A334" t="s">
        <v>356</v>
      </c>
      <c r="B334" t="s">
        <v>18</v>
      </c>
      <c r="C334" s="2">
        <v>21</v>
      </c>
      <c r="D334">
        <v>12</v>
      </c>
      <c r="E334">
        <v>80.84</v>
      </c>
      <c r="F334" t="s">
        <v>14</v>
      </c>
      <c r="G334" t="s">
        <v>26</v>
      </c>
      <c r="H334" t="s">
        <v>16</v>
      </c>
      <c r="I334">
        <v>53</v>
      </c>
      <c r="J334">
        <v>7.3</v>
      </c>
      <c r="K334">
        <v>40</v>
      </c>
      <c r="L334" t="s">
        <v>24</v>
      </c>
      <c r="M334" t="str">
        <f>IF(Table2[[#This Row],[Final_Exam_Score]]&gt;= 50,"Pass","Fail")</f>
        <v>Fail</v>
      </c>
    </row>
    <row r="335" spans="1:13" x14ac:dyDescent="0.25">
      <c r="A335" t="s">
        <v>357</v>
      </c>
      <c r="B335" t="s">
        <v>18</v>
      </c>
      <c r="C335" s="2">
        <v>21</v>
      </c>
      <c r="D335">
        <v>8</v>
      </c>
      <c r="E335">
        <v>86.76</v>
      </c>
      <c r="F335" t="s">
        <v>19</v>
      </c>
      <c r="G335" t="s">
        <v>26</v>
      </c>
      <c r="H335" t="s">
        <v>24</v>
      </c>
      <c r="I335">
        <v>49</v>
      </c>
      <c r="J335">
        <v>6.9</v>
      </c>
      <c r="K335">
        <v>40</v>
      </c>
      <c r="L335" t="s">
        <v>24</v>
      </c>
      <c r="M335" t="str">
        <f>IF(Table2[[#This Row],[Final_Exam_Score]]&gt;= 50,"Pass","Fail")</f>
        <v>Fail</v>
      </c>
    </row>
    <row r="336" spans="1:13" x14ac:dyDescent="0.25">
      <c r="A336" t="s">
        <v>358</v>
      </c>
      <c r="B336" t="s">
        <v>13</v>
      </c>
      <c r="C336" s="2">
        <v>18</v>
      </c>
      <c r="D336">
        <v>20</v>
      </c>
      <c r="E336">
        <v>65.64</v>
      </c>
      <c r="F336" t="s">
        <v>22</v>
      </c>
      <c r="G336" t="s">
        <v>26</v>
      </c>
      <c r="H336" t="s">
        <v>24</v>
      </c>
      <c r="I336">
        <v>75</v>
      </c>
      <c r="J336">
        <v>8.6999999999999993</v>
      </c>
      <c r="K336">
        <v>48.810521185834602</v>
      </c>
      <c r="L336" t="s">
        <v>24</v>
      </c>
      <c r="M336" t="str">
        <f>IF(Table2[[#This Row],[Final_Exam_Score]]&gt;= 50,"Pass","Fail")</f>
        <v>Fail</v>
      </c>
    </row>
    <row r="337" spans="1:13" x14ac:dyDescent="0.25">
      <c r="A337" t="s">
        <v>359</v>
      </c>
      <c r="B337" t="s">
        <v>18</v>
      </c>
      <c r="C337" s="2">
        <v>20</v>
      </c>
      <c r="D337">
        <v>27</v>
      </c>
      <c r="E337">
        <v>83.13</v>
      </c>
      <c r="F337" t="s">
        <v>32</v>
      </c>
      <c r="G337" t="s">
        <v>26</v>
      </c>
      <c r="H337" t="s">
        <v>16</v>
      </c>
      <c r="I337">
        <v>91</v>
      </c>
      <c r="J337">
        <v>6.6</v>
      </c>
      <c r="K337">
        <v>59.504699874941601</v>
      </c>
      <c r="L337" t="s">
        <v>16</v>
      </c>
      <c r="M337" t="str">
        <f>IF(Table2[[#This Row],[Final_Exam_Score]]&gt;= 50,"Pass","Fail")</f>
        <v>Pass</v>
      </c>
    </row>
    <row r="338" spans="1:13" x14ac:dyDescent="0.25">
      <c r="A338" t="s">
        <v>360</v>
      </c>
      <c r="B338" t="s">
        <v>13</v>
      </c>
      <c r="C338" s="2">
        <v>21</v>
      </c>
      <c r="D338">
        <v>10</v>
      </c>
      <c r="E338">
        <v>89.12</v>
      </c>
      <c r="F338" t="s">
        <v>14</v>
      </c>
      <c r="G338" t="s">
        <v>15</v>
      </c>
      <c r="H338" t="s">
        <v>24</v>
      </c>
      <c r="I338">
        <v>79</v>
      </c>
      <c r="J338">
        <v>7</v>
      </c>
      <c r="K338">
        <v>51.455921096490599</v>
      </c>
      <c r="L338" t="s">
        <v>16</v>
      </c>
      <c r="M338" t="str">
        <f>IF(Table2[[#This Row],[Final_Exam_Score]]&gt;= 50,"Pass","Fail")</f>
        <v>Pass</v>
      </c>
    </row>
    <row r="339" spans="1:13" x14ac:dyDescent="0.25">
      <c r="A339" t="s">
        <v>361</v>
      </c>
      <c r="B339" t="s">
        <v>13</v>
      </c>
      <c r="C339" s="2">
        <v>16</v>
      </c>
      <c r="D339">
        <v>2</v>
      </c>
      <c r="E339">
        <v>67.06</v>
      </c>
      <c r="F339" t="s">
        <v>22</v>
      </c>
      <c r="G339" t="s">
        <v>15</v>
      </c>
      <c r="H339" t="s">
        <v>24</v>
      </c>
      <c r="I339">
        <v>80</v>
      </c>
      <c r="J339">
        <v>6.7</v>
      </c>
      <c r="K339">
        <v>45.178364455794998</v>
      </c>
      <c r="L339" t="s">
        <v>24</v>
      </c>
      <c r="M339" t="str">
        <f>IF(Table2[[#This Row],[Final_Exam_Score]]&gt;= 50,"Pass","Fail")</f>
        <v>Fail</v>
      </c>
    </row>
    <row r="340" spans="1:13" x14ac:dyDescent="0.25">
      <c r="A340" t="s">
        <v>362</v>
      </c>
      <c r="B340" t="s">
        <v>18</v>
      </c>
      <c r="C340" s="2">
        <v>21</v>
      </c>
      <c r="D340">
        <v>23</v>
      </c>
      <c r="E340">
        <v>69.03</v>
      </c>
      <c r="F340" t="s">
        <v>19</v>
      </c>
      <c r="G340" t="s">
        <v>23</v>
      </c>
      <c r="H340" t="s">
        <v>16</v>
      </c>
      <c r="I340">
        <v>98</v>
      </c>
      <c r="J340">
        <v>5.7</v>
      </c>
      <c r="K340">
        <v>64.435264970984207</v>
      </c>
      <c r="L340" t="s">
        <v>16</v>
      </c>
      <c r="M340" t="str">
        <f>IF(Table2[[#This Row],[Final_Exam_Score]]&gt;= 50,"Pass","Fail")</f>
        <v>Pass</v>
      </c>
    </row>
    <row r="341" spans="1:13" x14ac:dyDescent="0.25">
      <c r="A341" t="s">
        <v>363</v>
      </c>
      <c r="B341" t="s">
        <v>13</v>
      </c>
      <c r="C341" s="2">
        <v>20</v>
      </c>
      <c r="D341">
        <v>2</v>
      </c>
      <c r="E341">
        <v>77.89</v>
      </c>
      <c r="F341" t="s">
        <v>19</v>
      </c>
      <c r="G341" t="s">
        <v>26</v>
      </c>
      <c r="H341" t="s">
        <v>16</v>
      </c>
      <c r="I341">
        <v>88</v>
      </c>
      <c r="J341">
        <v>4.8</v>
      </c>
      <c r="K341">
        <v>55.339715846614801</v>
      </c>
      <c r="L341" t="s">
        <v>24</v>
      </c>
      <c r="M341" t="str">
        <f>IF(Table2[[#This Row],[Final_Exam_Score]]&gt;= 50,"Pass","Fail")</f>
        <v>Pass</v>
      </c>
    </row>
    <row r="342" spans="1:13" x14ac:dyDescent="0.25">
      <c r="A342" t="s">
        <v>364</v>
      </c>
      <c r="B342" t="s">
        <v>18</v>
      </c>
      <c r="C342" s="2">
        <v>18</v>
      </c>
      <c r="D342">
        <v>9</v>
      </c>
      <c r="E342">
        <v>98.06</v>
      </c>
      <c r="F342" t="s">
        <v>28</v>
      </c>
      <c r="G342" t="s">
        <v>15</v>
      </c>
      <c r="H342" t="s">
        <v>24</v>
      </c>
      <c r="I342">
        <v>80</v>
      </c>
      <c r="J342">
        <v>4.0999999999999996</v>
      </c>
      <c r="K342">
        <v>59.435191487054297</v>
      </c>
      <c r="L342" t="s">
        <v>16</v>
      </c>
      <c r="M342" t="str">
        <f>IF(Table2[[#This Row],[Final_Exam_Score]]&gt;= 50,"Pass","Fail")</f>
        <v>Pass</v>
      </c>
    </row>
    <row r="343" spans="1:13" x14ac:dyDescent="0.25">
      <c r="A343" t="s">
        <v>365</v>
      </c>
      <c r="B343" t="s">
        <v>18</v>
      </c>
      <c r="C343" s="2">
        <v>21</v>
      </c>
      <c r="D343">
        <v>19</v>
      </c>
      <c r="E343">
        <v>73.709999999999994</v>
      </c>
      <c r="F343" t="s">
        <v>22</v>
      </c>
      <c r="G343" t="s">
        <v>26</v>
      </c>
      <c r="H343" t="s">
        <v>24</v>
      </c>
      <c r="I343">
        <v>49</v>
      </c>
      <c r="J343">
        <v>5.0999999999999996</v>
      </c>
      <c r="K343">
        <v>46.267324029756097</v>
      </c>
      <c r="L343" t="s">
        <v>16</v>
      </c>
      <c r="M343" t="str">
        <f>IF(Table2[[#This Row],[Final_Exam_Score]]&gt;= 50,"Pass","Fail")</f>
        <v>Fail</v>
      </c>
    </row>
    <row r="344" spans="1:13" x14ac:dyDescent="0.25">
      <c r="A344" t="s">
        <v>366</v>
      </c>
      <c r="B344" t="s">
        <v>13</v>
      </c>
      <c r="C344" s="2">
        <v>20</v>
      </c>
      <c r="D344">
        <v>24</v>
      </c>
      <c r="E344">
        <v>65.760000000000005</v>
      </c>
      <c r="F344" t="s">
        <v>32</v>
      </c>
      <c r="G344" t="s">
        <v>23</v>
      </c>
      <c r="H344" t="s">
        <v>24</v>
      </c>
      <c r="I344">
        <v>55</v>
      </c>
      <c r="J344">
        <v>6.8</v>
      </c>
      <c r="K344">
        <v>40</v>
      </c>
      <c r="L344" t="s">
        <v>16</v>
      </c>
      <c r="M344" t="str">
        <f>IF(Table2[[#This Row],[Final_Exam_Score]]&gt;= 50,"Pass","Fail")</f>
        <v>Fail</v>
      </c>
    </row>
    <row r="345" spans="1:13" x14ac:dyDescent="0.25">
      <c r="A345" t="s">
        <v>367</v>
      </c>
      <c r="B345" t="s">
        <v>13</v>
      </c>
      <c r="C345" s="2">
        <v>20</v>
      </c>
      <c r="D345">
        <v>3</v>
      </c>
      <c r="E345">
        <v>93.32</v>
      </c>
      <c r="F345" t="s">
        <v>19</v>
      </c>
      <c r="G345" t="s">
        <v>15</v>
      </c>
      <c r="H345" t="s">
        <v>24</v>
      </c>
      <c r="I345">
        <v>67</v>
      </c>
      <c r="J345">
        <v>4.0999999999999996</v>
      </c>
      <c r="K345">
        <v>46.508356270855998</v>
      </c>
      <c r="L345" t="s">
        <v>16</v>
      </c>
      <c r="M345" t="str">
        <f>IF(Table2[[#This Row],[Final_Exam_Score]]&gt;= 50,"Pass","Fail")</f>
        <v>Fail</v>
      </c>
    </row>
    <row r="346" spans="1:13" x14ac:dyDescent="0.25">
      <c r="A346" t="s">
        <v>368</v>
      </c>
      <c r="B346" t="s">
        <v>13</v>
      </c>
      <c r="C346" s="2">
        <v>16</v>
      </c>
      <c r="D346">
        <v>17</v>
      </c>
      <c r="E346">
        <v>94.72</v>
      </c>
      <c r="F346" t="s">
        <v>19</v>
      </c>
      <c r="G346" t="s">
        <v>15</v>
      </c>
      <c r="H346" t="s">
        <v>24</v>
      </c>
      <c r="I346">
        <v>88</v>
      </c>
      <c r="J346">
        <v>5.6</v>
      </c>
      <c r="K346">
        <v>60.750691484395396</v>
      </c>
      <c r="L346" t="s">
        <v>16</v>
      </c>
      <c r="M346" t="str">
        <f>IF(Table2[[#This Row],[Final_Exam_Score]]&gt;= 50,"Pass","Fail")</f>
        <v>Pass</v>
      </c>
    </row>
    <row r="347" spans="1:13" x14ac:dyDescent="0.25">
      <c r="A347" t="s">
        <v>369</v>
      </c>
      <c r="B347" t="s">
        <v>13</v>
      </c>
      <c r="C347" s="2">
        <v>16</v>
      </c>
      <c r="D347">
        <v>8</v>
      </c>
      <c r="E347">
        <v>83.78</v>
      </c>
      <c r="F347" t="s">
        <v>28</v>
      </c>
      <c r="G347" t="s">
        <v>23</v>
      </c>
      <c r="H347" t="s">
        <v>24</v>
      </c>
      <c r="I347">
        <v>92</v>
      </c>
      <c r="J347">
        <v>4.2</v>
      </c>
      <c r="K347">
        <v>58.1671783992728</v>
      </c>
      <c r="L347" t="s">
        <v>24</v>
      </c>
      <c r="M347" t="str">
        <f>IF(Table2[[#This Row],[Final_Exam_Score]]&gt;= 50,"Pass","Fail")</f>
        <v>Pass</v>
      </c>
    </row>
    <row r="348" spans="1:13" x14ac:dyDescent="0.25">
      <c r="A348" t="s">
        <v>370</v>
      </c>
      <c r="B348" t="s">
        <v>18</v>
      </c>
      <c r="C348" s="2">
        <v>18</v>
      </c>
      <c r="D348">
        <v>26</v>
      </c>
      <c r="E348">
        <v>96.26</v>
      </c>
      <c r="F348" t="s">
        <v>22</v>
      </c>
      <c r="G348" t="s">
        <v>23</v>
      </c>
      <c r="H348" t="s">
        <v>24</v>
      </c>
      <c r="I348">
        <v>99</v>
      </c>
      <c r="J348">
        <v>7.4</v>
      </c>
      <c r="K348">
        <v>69.215613523562496</v>
      </c>
      <c r="L348" t="s">
        <v>16</v>
      </c>
      <c r="M348" t="str">
        <f>IF(Table2[[#This Row],[Final_Exam_Score]]&gt;= 50,"Pass","Fail")</f>
        <v>Pass</v>
      </c>
    </row>
    <row r="349" spans="1:13" x14ac:dyDescent="0.25">
      <c r="A349" t="s">
        <v>371</v>
      </c>
      <c r="B349" t="s">
        <v>18</v>
      </c>
      <c r="C349" s="2">
        <v>17</v>
      </c>
      <c r="D349">
        <v>2</v>
      </c>
      <c r="E349">
        <v>71.27</v>
      </c>
      <c r="F349" t="s">
        <v>32</v>
      </c>
      <c r="G349" t="s">
        <v>23</v>
      </c>
      <c r="H349" t="s">
        <v>16</v>
      </c>
      <c r="I349">
        <v>66</v>
      </c>
      <c r="J349">
        <v>6.6</v>
      </c>
      <c r="K349">
        <v>48.355125700414199</v>
      </c>
      <c r="L349" t="s">
        <v>24</v>
      </c>
      <c r="M349" t="str">
        <f>IF(Table2[[#This Row],[Final_Exam_Score]]&gt;= 50,"Pass","Fail")</f>
        <v>Fail</v>
      </c>
    </row>
    <row r="350" spans="1:13" x14ac:dyDescent="0.25">
      <c r="A350" t="s">
        <v>372</v>
      </c>
      <c r="B350" t="s">
        <v>18</v>
      </c>
      <c r="C350" s="2">
        <v>18</v>
      </c>
      <c r="D350">
        <v>10</v>
      </c>
      <c r="E350">
        <v>74.61</v>
      </c>
      <c r="F350" t="s">
        <v>14</v>
      </c>
      <c r="G350" t="s">
        <v>26</v>
      </c>
      <c r="H350" t="s">
        <v>16</v>
      </c>
      <c r="I350">
        <v>77</v>
      </c>
      <c r="J350">
        <v>8.5</v>
      </c>
      <c r="K350">
        <v>45.977344119540703</v>
      </c>
      <c r="L350" t="s">
        <v>16</v>
      </c>
      <c r="M350" t="str">
        <f>IF(Table2[[#This Row],[Final_Exam_Score]]&gt;= 50,"Pass","Fail")</f>
        <v>Fail</v>
      </c>
    </row>
    <row r="351" spans="1:13" x14ac:dyDescent="0.25">
      <c r="A351" t="s">
        <v>373</v>
      </c>
      <c r="B351" t="s">
        <v>18</v>
      </c>
      <c r="C351" s="2">
        <v>15</v>
      </c>
      <c r="D351">
        <v>25</v>
      </c>
      <c r="E351">
        <v>65.72</v>
      </c>
      <c r="F351" t="s">
        <v>28</v>
      </c>
      <c r="G351" t="s">
        <v>26</v>
      </c>
      <c r="H351" t="s">
        <v>24</v>
      </c>
      <c r="I351">
        <v>74</v>
      </c>
      <c r="J351">
        <v>7.1</v>
      </c>
      <c r="K351">
        <v>51.397912634157997</v>
      </c>
      <c r="L351" t="s">
        <v>16</v>
      </c>
      <c r="M351" t="str">
        <f>IF(Table2[[#This Row],[Final_Exam_Score]]&gt;= 50,"Pass","Fail")</f>
        <v>Pass</v>
      </c>
    </row>
    <row r="352" spans="1:13" x14ac:dyDescent="0.25">
      <c r="A352" t="s">
        <v>374</v>
      </c>
      <c r="B352" t="s">
        <v>18</v>
      </c>
      <c r="C352" s="2">
        <v>17</v>
      </c>
      <c r="D352">
        <v>13</v>
      </c>
      <c r="E352">
        <v>85.42</v>
      </c>
      <c r="F352" t="s">
        <v>19</v>
      </c>
      <c r="G352" t="s">
        <v>23</v>
      </c>
      <c r="H352" t="s">
        <v>24</v>
      </c>
      <c r="I352">
        <v>93</v>
      </c>
      <c r="J352">
        <v>7.5</v>
      </c>
      <c r="K352">
        <v>52.099424501557699</v>
      </c>
      <c r="L352" t="s">
        <v>24</v>
      </c>
      <c r="M352" t="str">
        <f>IF(Table2[[#This Row],[Final_Exam_Score]]&gt;= 50,"Pass","Fail")</f>
        <v>Pass</v>
      </c>
    </row>
    <row r="353" spans="1:13" x14ac:dyDescent="0.25">
      <c r="A353" t="s">
        <v>375</v>
      </c>
      <c r="B353" t="s">
        <v>13</v>
      </c>
      <c r="C353" s="2">
        <v>21</v>
      </c>
      <c r="D353">
        <v>13</v>
      </c>
      <c r="E353">
        <v>96.06</v>
      </c>
      <c r="F353" t="s">
        <v>14</v>
      </c>
      <c r="G353" t="s">
        <v>23</v>
      </c>
      <c r="H353" t="s">
        <v>16</v>
      </c>
      <c r="I353">
        <v>93</v>
      </c>
      <c r="J353">
        <v>8.4</v>
      </c>
      <c r="K353">
        <v>62.397090704702698</v>
      </c>
      <c r="L353" t="s">
        <v>16</v>
      </c>
      <c r="M353" t="str">
        <f>IF(Table2[[#This Row],[Final_Exam_Score]]&gt;= 50,"Pass","Fail")</f>
        <v>Pass</v>
      </c>
    </row>
    <row r="354" spans="1:13" x14ac:dyDescent="0.25">
      <c r="A354" t="s">
        <v>376</v>
      </c>
      <c r="B354" t="s">
        <v>18</v>
      </c>
      <c r="C354" s="2">
        <v>15</v>
      </c>
      <c r="D354">
        <v>18</v>
      </c>
      <c r="E354">
        <v>86.22</v>
      </c>
      <c r="F354" t="s">
        <v>22</v>
      </c>
      <c r="G354" t="s">
        <v>15</v>
      </c>
      <c r="H354" t="s">
        <v>16</v>
      </c>
      <c r="I354">
        <v>96</v>
      </c>
      <c r="J354">
        <v>8.5</v>
      </c>
      <c r="K354">
        <v>53.0821190269223</v>
      </c>
      <c r="L354" t="s">
        <v>16</v>
      </c>
      <c r="M354" t="str">
        <f>IF(Table2[[#This Row],[Final_Exam_Score]]&gt;= 50,"Pass","Fail")</f>
        <v>Pass</v>
      </c>
    </row>
    <row r="355" spans="1:13" x14ac:dyDescent="0.25">
      <c r="A355" t="s">
        <v>377</v>
      </c>
      <c r="B355" t="s">
        <v>13</v>
      </c>
      <c r="C355" s="2">
        <v>18</v>
      </c>
      <c r="D355">
        <v>18</v>
      </c>
      <c r="E355">
        <v>67.81</v>
      </c>
      <c r="F355" t="s">
        <v>28</v>
      </c>
      <c r="G355" t="s">
        <v>23</v>
      </c>
      <c r="H355" t="s">
        <v>24</v>
      </c>
      <c r="I355">
        <v>81</v>
      </c>
      <c r="J355">
        <v>5.8</v>
      </c>
      <c r="K355">
        <v>53.164489306595897</v>
      </c>
      <c r="L355" t="s">
        <v>16</v>
      </c>
      <c r="M355" t="str">
        <f>IF(Table2[[#This Row],[Final_Exam_Score]]&gt;= 50,"Pass","Fail")</f>
        <v>Pass</v>
      </c>
    </row>
    <row r="356" spans="1:13" x14ac:dyDescent="0.25">
      <c r="A356" t="s">
        <v>378</v>
      </c>
      <c r="B356" t="s">
        <v>18</v>
      </c>
      <c r="C356" s="2">
        <v>18</v>
      </c>
      <c r="D356">
        <v>26</v>
      </c>
      <c r="E356">
        <v>89.26</v>
      </c>
      <c r="F356" t="s">
        <v>32</v>
      </c>
      <c r="G356" t="s">
        <v>23</v>
      </c>
      <c r="H356" t="s">
        <v>16</v>
      </c>
      <c r="I356">
        <v>87</v>
      </c>
      <c r="J356">
        <v>6.9</v>
      </c>
      <c r="K356">
        <v>66.656194264851294</v>
      </c>
      <c r="L356" t="s">
        <v>16</v>
      </c>
      <c r="M356" t="str">
        <f>IF(Table2[[#This Row],[Final_Exam_Score]]&gt;= 50,"Pass","Fail")</f>
        <v>Pass</v>
      </c>
    </row>
    <row r="357" spans="1:13" x14ac:dyDescent="0.25">
      <c r="A357" t="s">
        <v>379</v>
      </c>
      <c r="B357" t="s">
        <v>18</v>
      </c>
      <c r="C357" s="2">
        <v>16</v>
      </c>
      <c r="D357">
        <v>12</v>
      </c>
      <c r="E357">
        <v>88.66</v>
      </c>
      <c r="F357" t="s">
        <v>19</v>
      </c>
      <c r="G357" t="s">
        <v>15</v>
      </c>
      <c r="H357" t="s">
        <v>16</v>
      </c>
      <c r="I357">
        <v>54</v>
      </c>
      <c r="J357">
        <v>6</v>
      </c>
      <c r="K357">
        <v>46.041330504602001</v>
      </c>
      <c r="L357" t="s">
        <v>24</v>
      </c>
      <c r="M357" t="str">
        <f>IF(Table2[[#This Row],[Final_Exam_Score]]&gt;= 50,"Pass","Fail")</f>
        <v>Fail</v>
      </c>
    </row>
    <row r="358" spans="1:13" x14ac:dyDescent="0.25">
      <c r="A358" t="s">
        <v>380</v>
      </c>
      <c r="B358" t="s">
        <v>18</v>
      </c>
      <c r="C358" s="2">
        <v>15</v>
      </c>
      <c r="D358">
        <v>20</v>
      </c>
      <c r="E358">
        <v>70.84</v>
      </c>
      <c r="F358" t="s">
        <v>19</v>
      </c>
      <c r="G358" t="s">
        <v>23</v>
      </c>
      <c r="H358" t="s">
        <v>16</v>
      </c>
      <c r="I358">
        <v>81</v>
      </c>
      <c r="J358">
        <v>6.8</v>
      </c>
      <c r="K358">
        <v>47.249006553540099</v>
      </c>
      <c r="L358" t="s">
        <v>16</v>
      </c>
      <c r="M358" t="str">
        <f>IF(Table2[[#This Row],[Final_Exam_Score]]&gt;= 50,"Pass","Fail")</f>
        <v>Fail</v>
      </c>
    </row>
    <row r="359" spans="1:13" x14ac:dyDescent="0.25">
      <c r="A359" t="s">
        <v>381</v>
      </c>
      <c r="B359" t="s">
        <v>13</v>
      </c>
      <c r="C359" s="2">
        <v>21</v>
      </c>
      <c r="D359">
        <v>23</v>
      </c>
      <c r="E359">
        <v>94.01</v>
      </c>
      <c r="F359" t="s">
        <v>32</v>
      </c>
      <c r="G359" t="s">
        <v>15</v>
      </c>
      <c r="H359" t="s">
        <v>16</v>
      </c>
      <c r="I359">
        <v>78</v>
      </c>
      <c r="J359">
        <v>8.6999999999999993</v>
      </c>
      <c r="K359">
        <v>53.0277327527522</v>
      </c>
      <c r="L359" t="s">
        <v>24</v>
      </c>
      <c r="M359" t="str">
        <f>IF(Table2[[#This Row],[Final_Exam_Score]]&gt;= 50,"Pass","Fail")</f>
        <v>Pass</v>
      </c>
    </row>
    <row r="360" spans="1:13" x14ac:dyDescent="0.25">
      <c r="A360" t="s">
        <v>382</v>
      </c>
      <c r="B360" t="s">
        <v>13</v>
      </c>
      <c r="C360" s="2">
        <v>18</v>
      </c>
      <c r="D360">
        <v>10</v>
      </c>
      <c r="E360">
        <v>96.93</v>
      </c>
      <c r="F360" t="s">
        <v>19</v>
      </c>
      <c r="G360" t="s">
        <v>23</v>
      </c>
      <c r="H360" t="s">
        <v>24</v>
      </c>
      <c r="I360">
        <v>94</v>
      </c>
      <c r="J360">
        <v>9</v>
      </c>
      <c r="K360">
        <v>63.071132020291202</v>
      </c>
      <c r="L360" t="s">
        <v>24</v>
      </c>
      <c r="M360" t="str">
        <f>IF(Table2[[#This Row],[Final_Exam_Score]]&gt;= 50,"Pass","Fail")</f>
        <v>Pass</v>
      </c>
    </row>
    <row r="361" spans="1:13" x14ac:dyDescent="0.25">
      <c r="A361" t="s">
        <v>383</v>
      </c>
      <c r="B361" t="s">
        <v>18</v>
      </c>
      <c r="C361" s="2">
        <v>18</v>
      </c>
      <c r="D361">
        <v>11</v>
      </c>
      <c r="E361">
        <v>78.709999999999994</v>
      </c>
      <c r="F361" t="s">
        <v>14</v>
      </c>
      <c r="G361" t="s">
        <v>23</v>
      </c>
      <c r="H361" t="s">
        <v>16</v>
      </c>
      <c r="I361">
        <v>69</v>
      </c>
      <c r="J361">
        <v>6.4</v>
      </c>
      <c r="K361">
        <v>46.080134812778702</v>
      </c>
      <c r="L361" t="s">
        <v>24</v>
      </c>
      <c r="M361" t="str">
        <f>IF(Table2[[#This Row],[Final_Exam_Score]]&gt;= 50,"Pass","Fail")</f>
        <v>Fail</v>
      </c>
    </row>
    <row r="362" spans="1:13" x14ac:dyDescent="0.25">
      <c r="A362" t="s">
        <v>384</v>
      </c>
      <c r="B362" t="s">
        <v>13</v>
      </c>
      <c r="C362" s="2">
        <v>21</v>
      </c>
      <c r="D362">
        <v>26</v>
      </c>
      <c r="E362">
        <v>75.81</v>
      </c>
      <c r="F362" t="s">
        <v>22</v>
      </c>
      <c r="G362" t="s">
        <v>15</v>
      </c>
      <c r="H362" t="s">
        <v>24</v>
      </c>
      <c r="I362">
        <v>66</v>
      </c>
      <c r="J362">
        <v>4.3</v>
      </c>
      <c r="K362">
        <v>40</v>
      </c>
      <c r="L362" t="s">
        <v>16</v>
      </c>
      <c r="M362" t="str">
        <f>IF(Table2[[#This Row],[Final_Exam_Score]]&gt;= 50,"Pass","Fail")</f>
        <v>Fail</v>
      </c>
    </row>
    <row r="363" spans="1:13" x14ac:dyDescent="0.25">
      <c r="A363" t="s">
        <v>385</v>
      </c>
      <c r="B363" t="s">
        <v>13</v>
      </c>
      <c r="C363" s="2">
        <v>18</v>
      </c>
      <c r="D363">
        <v>22</v>
      </c>
      <c r="E363">
        <v>85.11</v>
      </c>
      <c r="F363" t="s">
        <v>19</v>
      </c>
      <c r="G363" t="s">
        <v>26</v>
      </c>
      <c r="H363" t="s">
        <v>16</v>
      </c>
      <c r="I363">
        <v>98</v>
      </c>
      <c r="J363">
        <v>8.8000000000000007</v>
      </c>
      <c r="K363">
        <v>69.906738043528307</v>
      </c>
      <c r="L363" t="s">
        <v>24</v>
      </c>
      <c r="M363" t="str">
        <f>IF(Table2[[#This Row],[Final_Exam_Score]]&gt;= 50,"Pass","Fail")</f>
        <v>Pass</v>
      </c>
    </row>
    <row r="364" spans="1:13" x14ac:dyDescent="0.25">
      <c r="A364" t="s">
        <v>386</v>
      </c>
      <c r="B364" t="s">
        <v>18</v>
      </c>
      <c r="C364" s="2">
        <v>20</v>
      </c>
      <c r="D364">
        <v>12</v>
      </c>
      <c r="E364">
        <v>99.04</v>
      </c>
      <c r="F364" t="s">
        <v>28</v>
      </c>
      <c r="G364" t="s">
        <v>23</v>
      </c>
      <c r="H364" t="s">
        <v>16</v>
      </c>
      <c r="I364">
        <v>51</v>
      </c>
      <c r="J364">
        <v>4.5999999999999996</v>
      </c>
      <c r="K364">
        <v>44.736090287921598</v>
      </c>
      <c r="L364" t="s">
        <v>16</v>
      </c>
      <c r="M364" t="str">
        <f>IF(Table2[[#This Row],[Final_Exam_Score]]&gt;= 50,"Pass","Fail")</f>
        <v>Fail</v>
      </c>
    </row>
    <row r="365" spans="1:13" x14ac:dyDescent="0.25">
      <c r="A365" t="s">
        <v>387</v>
      </c>
      <c r="B365" t="s">
        <v>13</v>
      </c>
      <c r="C365" s="2">
        <v>15</v>
      </c>
      <c r="D365">
        <v>21</v>
      </c>
      <c r="E365">
        <v>90.37</v>
      </c>
      <c r="F365" t="s">
        <v>14</v>
      </c>
      <c r="G365" t="s">
        <v>26</v>
      </c>
      <c r="H365" t="s">
        <v>24</v>
      </c>
      <c r="I365">
        <v>97</v>
      </c>
      <c r="J365">
        <v>4.0999999999999996</v>
      </c>
      <c r="K365">
        <v>56.026272163037</v>
      </c>
      <c r="L365" t="s">
        <v>24</v>
      </c>
      <c r="M365" t="str">
        <f>IF(Table2[[#This Row],[Final_Exam_Score]]&gt;= 50,"Pass","Fail")</f>
        <v>Pass</v>
      </c>
    </row>
    <row r="366" spans="1:13" x14ac:dyDescent="0.25">
      <c r="A366" t="s">
        <v>388</v>
      </c>
      <c r="B366" t="s">
        <v>13</v>
      </c>
      <c r="C366" s="2">
        <v>18</v>
      </c>
      <c r="D366">
        <v>13</v>
      </c>
      <c r="E366">
        <v>92.65</v>
      </c>
      <c r="F366" t="s">
        <v>28</v>
      </c>
      <c r="G366" t="s">
        <v>15</v>
      </c>
      <c r="H366" t="s">
        <v>16</v>
      </c>
      <c r="I366">
        <v>74</v>
      </c>
      <c r="J366">
        <v>7.5</v>
      </c>
      <c r="K366">
        <v>53.2020235883232</v>
      </c>
      <c r="L366" t="s">
        <v>16</v>
      </c>
      <c r="M366" t="str">
        <f>IF(Table2[[#This Row],[Final_Exam_Score]]&gt;= 50,"Pass","Fail")</f>
        <v>Pass</v>
      </c>
    </row>
    <row r="367" spans="1:13" x14ac:dyDescent="0.25">
      <c r="A367" t="s">
        <v>389</v>
      </c>
      <c r="B367" t="s">
        <v>13</v>
      </c>
      <c r="C367" s="2">
        <v>19</v>
      </c>
      <c r="D367">
        <v>8</v>
      </c>
      <c r="E367">
        <v>91.9</v>
      </c>
      <c r="F367" t="s">
        <v>22</v>
      </c>
      <c r="G367" t="s">
        <v>23</v>
      </c>
      <c r="H367" t="s">
        <v>16</v>
      </c>
      <c r="I367">
        <v>95</v>
      </c>
      <c r="J367">
        <v>8.1999999999999993</v>
      </c>
      <c r="K367">
        <v>69.852485506461093</v>
      </c>
      <c r="L367" t="s">
        <v>24</v>
      </c>
      <c r="M367" t="str">
        <f>IF(Table2[[#This Row],[Final_Exam_Score]]&gt;= 50,"Pass","Fail")</f>
        <v>Pass</v>
      </c>
    </row>
    <row r="368" spans="1:13" x14ac:dyDescent="0.25">
      <c r="A368" t="s">
        <v>390</v>
      </c>
      <c r="B368" t="s">
        <v>13</v>
      </c>
      <c r="C368" s="2">
        <v>21</v>
      </c>
      <c r="D368">
        <v>19</v>
      </c>
      <c r="E368">
        <v>98.49</v>
      </c>
      <c r="F368" t="s">
        <v>22</v>
      </c>
      <c r="G368" t="s">
        <v>15</v>
      </c>
      <c r="H368" t="s">
        <v>16</v>
      </c>
      <c r="I368">
        <v>54</v>
      </c>
      <c r="J368">
        <v>7.1</v>
      </c>
      <c r="K368">
        <v>46.265258954323301</v>
      </c>
      <c r="L368" t="s">
        <v>16</v>
      </c>
      <c r="M368" t="str">
        <f>IF(Table2[[#This Row],[Final_Exam_Score]]&gt;= 50,"Pass","Fail")</f>
        <v>Fail</v>
      </c>
    </row>
    <row r="369" spans="1:13" x14ac:dyDescent="0.25">
      <c r="A369" t="s">
        <v>391</v>
      </c>
      <c r="B369" t="s">
        <v>13</v>
      </c>
      <c r="C369" s="2">
        <v>19</v>
      </c>
      <c r="D369">
        <v>16</v>
      </c>
      <c r="E369">
        <v>93.57</v>
      </c>
      <c r="F369" t="s">
        <v>19</v>
      </c>
      <c r="G369" t="s">
        <v>15</v>
      </c>
      <c r="H369" t="s">
        <v>24</v>
      </c>
      <c r="I369">
        <v>47</v>
      </c>
      <c r="J369">
        <v>7</v>
      </c>
      <c r="K369">
        <v>41.506206437509903</v>
      </c>
      <c r="L369" t="s">
        <v>16</v>
      </c>
      <c r="M369" t="str">
        <f>IF(Table2[[#This Row],[Final_Exam_Score]]&gt;= 50,"Pass","Fail")</f>
        <v>Fail</v>
      </c>
    </row>
    <row r="370" spans="1:13" x14ac:dyDescent="0.25">
      <c r="A370" t="s">
        <v>392</v>
      </c>
      <c r="B370" t="s">
        <v>18</v>
      </c>
      <c r="C370" s="2">
        <v>18</v>
      </c>
      <c r="D370">
        <v>7</v>
      </c>
      <c r="E370">
        <v>74.39</v>
      </c>
      <c r="F370" t="s">
        <v>19</v>
      </c>
      <c r="G370" t="s">
        <v>26</v>
      </c>
      <c r="H370" t="s">
        <v>16</v>
      </c>
      <c r="I370">
        <v>61</v>
      </c>
      <c r="J370">
        <v>5.6</v>
      </c>
      <c r="K370">
        <v>40</v>
      </c>
      <c r="L370" t="s">
        <v>24</v>
      </c>
      <c r="M370" t="str">
        <f>IF(Table2[[#This Row],[Final_Exam_Score]]&gt;= 50,"Pass","Fail")</f>
        <v>Fail</v>
      </c>
    </row>
    <row r="371" spans="1:13" x14ac:dyDescent="0.25">
      <c r="A371" t="s">
        <v>393</v>
      </c>
      <c r="B371" t="s">
        <v>18</v>
      </c>
      <c r="C371" s="2">
        <v>17</v>
      </c>
      <c r="D371">
        <v>18</v>
      </c>
      <c r="E371">
        <v>73.099999999999994</v>
      </c>
      <c r="F371" t="s">
        <v>19</v>
      </c>
      <c r="G371" t="s">
        <v>23</v>
      </c>
      <c r="H371" t="s">
        <v>16</v>
      </c>
      <c r="I371">
        <v>80</v>
      </c>
      <c r="J371">
        <v>7.1</v>
      </c>
      <c r="K371">
        <v>55.255091818424603</v>
      </c>
      <c r="L371" t="s">
        <v>24</v>
      </c>
      <c r="M371" t="str">
        <f>IF(Table2[[#This Row],[Final_Exam_Score]]&gt;= 50,"Pass","Fail")</f>
        <v>Pass</v>
      </c>
    </row>
    <row r="372" spans="1:13" x14ac:dyDescent="0.25">
      <c r="A372" t="s">
        <v>394</v>
      </c>
      <c r="B372" t="s">
        <v>13</v>
      </c>
      <c r="C372" s="2">
        <v>20</v>
      </c>
      <c r="D372">
        <v>26</v>
      </c>
      <c r="E372">
        <v>73.47</v>
      </c>
      <c r="F372" t="s">
        <v>14</v>
      </c>
      <c r="G372" t="s">
        <v>23</v>
      </c>
      <c r="H372" t="s">
        <v>24</v>
      </c>
      <c r="I372">
        <v>54</v>
      </c>
      <c r="J372">
        <v>8.1</v>
      </c>
      <c r="K372">
        <v>45.350786390817298</v>
      </c>
      <c r="L372" t="s">
        <v>16</v>
      </c>
      <c r="M372" t="str">
        <f>IF(Table2[[#This Row],[Final_Exam_Score]]&gt;= 50,"Pass","Fail")</f>
        <v>Fail</v>
      </c>
    </row>
    <row r="373" spans="1:13" x14ac:dyDescent="0.25">
      <c r="A373" t="s">
        <v>395</v>
      </c>
      <c r="B373" t="s">
        <v>18</v>
      </c>
      <c r="C373" s="2">
        <v>15</v>
      </c>
      <c r="D373">
        <v>6</v>
      </c>
      <c r="E373">
        <v>72.45</v>
      </c>
      <c r="F373" t="s">
        <v>28</v>
      </c>
      <c r="G373" t="s">
        <v>26</v>
      </c>
      <c r="H373" t="s">
        <v>24</v>
      </c>
      <c r="I373">
        <v>66</v>
      </c>
      <c r="J373">
        <v>5.6</v>
      </c>
      <c r="K373">
        <v>46.749214539457597</v>
      </c>
      <c r="L373" t="s">
        <v>24</v>
      </c>
      <c r="M373" t="str">
        <f>IF(Table2[[#This Row],[Final_Exam_Score]]&gt;= 50,"Pass","Fail")</f>
        <v>Fail</v>
      </c>
    </row>
    <row r="374" spans="1:13" x14ac:dyDescent="0.25">
      <c r="A374" t="s">
        <v>396</v>
      </c>
      <c r="B374" t="s">
        <v>13</v>
      </c>
      <c r="C374" s="2">
        <v>20</v>
      </c>
      <c r="D374">
        <v>16</v>
      </c>
      <c r="E374">
        <v>72.290000000000006</v>
      </c>
      <c r="F374" t="s">
        <v>32</v>
      </c>
      <c r="G374" t="s">
        <v>23</v>
      </c>
      <c r="H374" t="s">
        <v>16</v>
      </c>
      <c r="I374">
        <v>48</v>
      </c>
      <c r="J374">
        <v>6.3</v>
      </c>
      <c r="K374">
        <v>40</v>
      </c>
      <c r="L374" t="s">
        <v>24</v>
      </c>
      <c r="M374" t="str">
        <f>IF(Table2[[#This Row],[Final_Exam_Score]]&gt;= 50,"Pass","Fail")</f>
        <v>Fail</v>
      </c>
    </row>
    <row r="375" spans="1:13" x14ac:dyDescent="0.25">
      <c r="A375" t="s">
        <v>397</v>
      </c>
      <c r="B375" t="s">
        <v>13</v>
      </c>
      <c r="C375" s="2">
        <v>20</v>
      </c>
      <c r="D375">
        <v>29</v>
      </c>
      <c r="E375">
        <v>97.71</v>
      </c>
      <c r="F375" t="s">
        <v>14</v>
      </c>
      <c r="G375" t="s">
        <v>23</v>
      </c>
      <c r="H375" t="s">
        <v>24</v>
      </c>
      <c r="I375">
        <v>85</v>
      </c>
      <c r="J375">
        <v>7.2</v>
      </c>
      <c r="K375">
        <v>65.886537849099099</v>
      </c>
      <c r="L375" t="s">
        <v>16</v>
      </c>
      <c r="M375" t="str">
        <f>IF(Table2[[#This Row],[Final_Exam_Score]]&gt;= 50,"Pass","Fail")</f>
        <v>Pass</v>
      </c>
    </row>
    <row r="376" spans="1:13" x14ac:dyDescent="0.25">
      <c r="A376" t="s">
        <v>398</v>
      </c>
      <c r="B376" t="s">
        <v>13</v>
      </c>
      <c r="C376" s="2">
        <v>16</v>
      </c>
      <c r="D376">
        <v>17</v>
      </c>
      <c r="E376">
        <v>98.31</v>
      </c>
      <c r="F376" t="s">
        <v>32</v>
      </c>
      <c r="G376" t="s">
        <v>26</v>
      </c>
      <c r="H376" t="s">
        <v>24</v>
      </c>
      <c r="I376">
        <v>49</v>
      </c>
      <c r="J376">
        <v>7.9</v>
      </c>
      <c r="K376">
        <v>40</v>
      </c>
      <c r="L376" t="s">
        <v>16</v>
      </c>
      <c r="M376" t="str">
        <f>IF(Table2[[#This Row],[Final_Exam_Score]]&gt;= 50,"Pass","Fail")</f>
        <v>Fail</v>
      </c>
    </row>
    <row r="377" spans="1:13" x14ac:dyDescent="0.25">
      <c r="A377" t="s">
        <v>399</v>
      </c>
      <c r="B377" t="s">
        <v>18</v>
      </c>
      <c r="C377" s="2">
        <v>20</v>
      </c>
      <c r="D377">
        <v>20</v>
      </c>
      <c r="E377">
        <v>68.14</v>
      </c>
      <c r="F377" t="s">
        <v>32</v>
      </c>
      <c r="G377" t="s">
        <v>23</v>
      </c>
      <c r="H377" t="s">
        <v>24</v>
      </c>
      <c r="I377">
        <v>67</v>
      </c>
      <c r="J377">
        <v>7.2</v>
      </c>
      <c r="K377">
        <v>48.910347003593202</v>
      </c>
      <c r="L377" t="s">
        <v>16</v>
      </c>
      <c r="M377" t="str">
        <f>IF(Table2[[#This Row],[Final_Exam_Score]]&gt;= 50,"Pass","Fail")</f>
        <v>Fail</v>
      </c>
    </row>
    <row r="378" spans="1:13" x14ac:dyDescent="0.25">
      <c r="A378" t="s">
        <v>400</v>
      </c>
      <c r="B378" t="s">
        <v>18</v>
      </c>
      <c r="C378" s="2">
        <v>17</v>
      </c>
      <c r="D378">
        <v>4</v>
      </c>
      <c r="E378">
        <v>67.239999999999995</v>
      </c>
      <c r="F378" t="s">
        <v>32</v>
      </c>
      <c r="G378" t="s">
        <v>26</v>
      </c>
      <c r="H378" t="s">
        <v>24</v>
      </c>
      <c r="I378">
        <v>87</v>
      </c>
      <c r="J378">
        <v>4.8</v>
      </c>
      <c r="K378">
        <v>45.488599306905101</v>
      </c>
      <c r="L378" t="s">
        <v>24</v>
      </c>
      <c r="M378" t="str">
        <f>IF(Table2[[#This Row],[Final_Exam_Score]]&gt;= 50,"Pass","Fail")</f>
        <v>Fail</v>
      </c>
    </row>
    <row r="379" spans="1:13" x14ac:dyDescent="0.25">
      <c r="A379" t="s">
        <v>401</v>
      </c>
      <c r="B379" t="s">
        <v>13</v>
      </c>
      <c r="C379" s="2">
        <v>19</v>
      </c>
      <c r="D379">
        <v>4</v>
      </c>
      <c r="E379">
        <v>95</v>
      </c>
      <c r="F379" t="s">
        <v>19</v>
      </c>
      <c r="G379" t="s">
        <v>26</v>
      </c>
      <c r="H379" t="s">
        <v>24</v>
      </c>
      <c r="I379">
        <v>46</v>
      </c>
      <c r="J379">
        <v>6.6</v>
      </c>
      <c r="K379">
        <v>40</v>
      </c>
      <c r="L379" t="s">
        <v>16</v>
      </c>
      <c r="M379" t="str">
        <f>IF(Table2[[#This Row],[Final_Exam_Score]]&gt;= 50,"Pass","Fail")</f>
        <v>Fail</v>
      </c>
    </row>
    <row r="380" spans="1:13" x14ac:dyDescent="0.25">
      <c r="A380" t="s">
        <v>402</v>
      </c>
      <c r="B380" t="s">
        <v>18</v>
      </c>
      <c r="C380" s="2">
        <v>15</v>
      </c>
      <c r="D380">
        <v>16</v>
      </c>
      <c r="E380">
        <v>84.73</v>
      </c>
      <c r="F380" t="s">
        <v>32</v>
      </c>
      <c r="G380" t="s">
        <v>15</v>
      </c>
      <c r="H380" t="s">
        <v>16</v>
      </c>
      <c r="I380">
        <v>58</v>
      </c>
      <c r="J380">
        <v>6.2</v>
      </c>
      <c r="K380">
        <v>40</v>
      </c>
      <c r="L380" t="s">
        <v>24</v>
      </c>
      <c r="M380" t="str">
        <f>IF(Table2[[#This Row],[Final_Exam_Score]]&gt;= 50,"Pass","Fail")</f>
        <v>Fail</v>
      </c>
    </row>
    <row r="381" spans="1:13" x14ac:dyDescent="0.25">
      <c r="A381" t="s">
        <v>403</v>
      </c>
      <c r="B381" t="s">
        <v>13</v>
      </c>
      <c r="C381" s="2">
        <v>16</v>
      </c>
      <c r="D381">
        <v>17</v>
      </c>
      <c r="E381">
        <v>72.400000000000006</v>
      </c>
      <c r="F381" t="s">
        <v>28</v>
      </c>
      <c r="G381" t="s">
        <v>26</v>
      </c>
      <c r="H381" t="s">
        <v>16</v>
      </c>
      <c r="I381">
        <v>98</v>
      </c>
      <c r="J381">
        <v>7.2</v>
      </c>
      <c r="K381">
        <v>59.269676390085998</v>
      </c>
      <c r="L381" t="s">
        <v>16</v>
      </c>
      <c r="M381" t="str">
        <f>IF(Table2[[#This Row],[Final_Exam_Score]]&gt;= 50,"Pass","Fail")</f>
        <v>Pass</v>
      </c>
    </row>
    <row r="382" spans="1:13" x14ac:dyDescent="0.25">
      <c r="A382" t="s">
        <v>404</v>
      </c>
      <c r="B382" t="s">
        <v>18</v>
      </c>
      <c r="C382" s="2">
        <v>19</v>
      </c>
      <c r="D382">
        <v>9</v>
      </c>
      <c r="E382">
        <v>81.16</v>
      </c>
      <c r="F382" t="s">
        <v>19</v>
      </c>
      <c r="G382" t="s">
        <v>26</v>
      </c>
      <c r="H382" t="s">
        <v>16</v>
      </c>
      <c r="I382">
        <v>46</v>
      </c>
      <c r="J382">
        <v>7.2</v>
      </c>
      <c r="K382">
        <v>40</v>
      </c>
      <c r="L382" t="s">
        <v>16</v>
      </c>
      <c r="M382" t="str">
        <f>IF(Table2[[#This Row],[Final_Exam_Score]]&gt;= 50,"Pass","Fail")</f>
        <v>Fail</v>
      </c>
    </row>
    <row r="383" spans="1:13" x14ac:dyDescent="0.25">
      <c r="A383" t="s">
        <v>405</v>
      </c>
      <c r="B383" t="s">
        <v>13</v>
      </c>
      <c r="C383" s="2">
        <v>18</v>
      </c>
      <c r="D383">
        <v>7</v>
      </c>
      <c r="E383">
        <v>67.58</v>
      </c>
      <c r="F383" t="s">
        <v>28</v>
      </c>
      <c r="G383" t="s">
        <v>15</v>
      </c>
      <c r="H383" t="s">
        <v>24</v>
      </c>
      <c r="I383">
        <v>99</v>
      </c>
      <c r="J383">
        <v>4.5</v>
      </c>
      <c r="K383">
        <v>47.5736842315102</v>
      </c>
      <c r="L383" t="s">
        <v>24</v>
      </c>
      <c r="M383" t="str">
        <f>IF(Table2[[#This Row],[Final_Exam_Score]]&gt;= 50,"Pass","Fail")</f>
        <v>Fail</v>
      </c>
    </row>
    <row r="384" spans="1:13" x14ac:dyDescent="0.25">
      <c r="A384" t="s">
        <v>406</v>
      </c>
      <c r="B384" t="s">
        <v>18</v>
      </c>
      <c r="C384" s="2">
        <v>18</v>
      </c>
      <c r="D384">
        <v>6</v>
      </c>
      <c r="E384">
        <v>99.38</v>
      </c>
      <c r="F384" t="s">
        <v>22</v>
      </c>
      <c r="G384" t="s">
        <v>15</v>
      </c>
      <c r="H384" t="s">
        <v>16</v>
      </c>
      <c r="I384">
        <v>84</v>
      </c>
      <c r="J384">
        <v>4.7</v>
      </c>
      <c r="K384">
        <v>63.932028517755001</v>
      </c>
      <c r="L384" t="s">
        <v>24</v>
      </c>
      <c r="M384" t="str">
        <f>IF(Table2[[#This Row],[Final_Exam_Score]]&gt;= 50,"Pass","Fail")</f>
        <v>Pass</v>
      </c>
    </row>
    <row r="385" spans="1:13" x14ac:dyDescent="0.25">
      <c r="A385" t="s">
        <v>407</v>
      </c>
      <c r="B385" t="s">
        <v>18</v>
      </c>
      <c r="C385" s="2">
        <v>16</v>
      </c>
      <c r="D385">
        <v>16</v>
      </c>
      <c r="E385">
        <v>69.900000000000006</v>
      </c>
      <c r="F385" t="s">
        <v>28</v>
      </c>
      <c r="G385" t="s">
        <v>26</v>
      </c>
      <c r="H385" t="s">
        <v>16</v>
      </c>
      <c r="I385">
        <v>73</v>
      </c>
      <c r="J385">
        <v>4.4000000000000004</v>
      </c>
      <c r="K385">
        <v>51.091741666129401</v>
      </c>
      <c r="L385" t="s">
        <v>24</v>
      </c>
      <c r="M385" t="str">
        <f>IF(Table2[[#This Row],[Final_Exam_Score]]&gt;= 50,"Pass","Fail")</f>
        <v>Pass</v>
      </c>
    </row>
    <row r="386" spans="1:13" x14ac:dyDescent="0.25">
      <c r="A386" t="s">
        <v>408</v>
      </c>
      <c r="B386" t="s">
        <v>13</v>
      </c>
      <c r="C386" s="2">
        <v>15</v>
      </c>
      <c r="D386">
        <v>17</v>
      </c>
      <c r="E386">
        <v>93.23</v>
      </c>
      <c r="F386" t="s">
        <v>32</v>
      </c>
      <c r="G386" t="s">
        <v>26</v>
      </c>
      <c r="H386" t="s">
        <v>24</v>
      </c>
      <c r="I386">
        <v>52</v>
      </c>
      <c r="J386">
        <v>4.5</v>
      </c>
      <c r="K386">
        <v>40</v>
      </c>
      <c r="L386" t="s">
        <v>16</v>
      </c>
      <c r="M386" t="str">
        <f>IF(Table2[[#This Row],[Final_Exam_Score]]&gt;= 50,"Pass","Fail")</f>
        <v>Fail</v>
      </c>
    </row>
    <row r="387" spans="1:13" x14ac:dyDescent="0.25">
      <c r="A387" t="s">
        <v>409</v>
      </c>
      <c r="B387" t="s">
        <v>13</v>
      </c>
      <c r="C387" s="2">
        <v>16</v>
      </c>
      <c r="D387">
        <v>15</v>
      </c>
      <c r="E387">
        <v>98.54</v>
      </c>
      <c r="F387" t="s">
        <v>22</v>
      </c>
      <c r="G387" t="s">
        <v>15</v>
      </c>
      <c r="H387" t="s">
        <v>16</v>
      </c>
      <c r="I387">
        <v>60</v>
      </c>
      <c r="J387">
        <v>6.6</v>
      </c>
      <c r="K387">
        <v>43.170436563150503</v>
      </c>
      <c r="L387" t="s">
        <v>24</v>
      </c>
      <c r="M387" t="str">
        <f>IF(Table2[[#This Row],[Final_Exam_Score]]&gt;= 50,"Pass","Fail")</f>
        <v>Fail</v>
      </c>
    </row>
    <row r="388" spans="1:13" x14ac:dyDescent="0.25">
      <c r="A388" t="s">
        <v>410</v>
      </c>
      <c r="B388" t="s">
        <v>13</v>
      </c>
      <c r="C388" s="2">
        <v>16</v>
      </c>
      <c r="D388">
        <v>22</v>
      </c>
      <c r="E388">
        <v>89.89</v>
      </c>
      <c r="F388" t="s">
        <v>32</v>
      </c>
      <c r="G388" t="s">
        <v>15</v>
      </c>
      <c r="H388" t="s">
        <v>24</v>
      </c>
      <c r="I388">
        <v>72</v>
      </c>
      <c r="J388">
        <v>4</v>
      </c>
      <c r="K388">
        <v>52.132992403793502</v>
      </c>
      <c r="L388" t="s">
        <v>24</v>
      </c>
      <c r="M388" t="str">
        <f>IF(Table2[[#This Row],[Final_Exam_Score]]&gt;= 50,"Pass","Fail")</f>
        <v>Pass</v>
      </c>
    </row>
    <row r="389" spans="1:13" x14ac:dyDescent="0.25">
      <c r="A389" t="s">
        <v>411</v>
      </c>
      <c r="B389" t="s">
        <v>18</v>
      </c>
      <c r="C389" s="2">
        <v>17</v>
      </c>
      <c r="D389">
        <v>18</v>
      </c>
      <c r="E389">
        <v>68.099999999999994</v>
      </c>
      <c r="F389" t="s">
        <v>14</v>
      </c>
      <c r="G389" t="s">
        <v>15</v>
      </c>
      <c r="H389" t="s">
        <v>16</v>
      </c>
      <c r="I389">
        <v>72</v>
      </c>
      <c r="J389">
        <v>7.9</v>
      </c>
      <c r="K389">
        <v>44.981996940579101</v>
      </c>
      <c r="L389" t="s">
        <v>24</v>
      </c>
      <c r="M389" t="str">
        <f>IF(Table2[[#This Row],[Final_Exam_Score]]&gt;= 50,"Pass","Fail")</f>
        <v>Fail</v>
      </c>
    </row>
    <row r="390" spans="1:13" x14ac:dyDescent="0.25">
      <c r="A390" t="s">
        <v>412</v>
      </c>
      <c r="B390" t="s">
        <v>13</v>
      </c>
      <c r="C390" s="2">
        <v>18</v>
      </c>
      <c r="D390">
        <v>8</v>
      </c>
      <c r="E390">
        <v>85.65</v>
      </c>
      <c r="F390" t="s">
        <v>32</v>
      </c>
      <c r="G390" t="s">
        <v>15</v>
      </c>
      <c r="H390" t="s">
        <v>16</v>
      </c>
      <c r="I390">
        <v>47</v>
      </c>
      <c r="J390">
        <v>6.8</v>
      </c>
      <c r="K390">
        <v>40</v>
      </c>
      <c r="L390" t="s">
        <v>16</v>
      </c>
      <c r="M390" t="str">
        <f>IF(Table2[[#This Row],[Final_Exam_Score]]&gt;= 50,"Pass","Fail")</f>
        <v>Fail</v>
      </c>
    </row>
    <row r="391" spans="1:13" x14ac:dyDescent="0.25">
      <c r="A391" t="s">
        <v>413</v>
      </c>
      <c r="B391" t="s">
        <v>18</v>
      </c>
      <c r="C391" s="2">
        <v>18</v>
      </c>
      <c r="D391">
        <v>6</v>
      </c>
      <c r="E391">
        <v>69.52</v>
      </c>
      <c r="F391" t="s">
        <v>22</v>
      </c>
      <c r="G391" t="s">
        <v>26</v>
      </c>
      <c r="H391" t="s">
        <v>16</v>
      </c>
      <c r="I391">
        <v>79</v>
      </c>
      <c r="J391">
        <v>7.6</v>
      </c>
      <c r="K391">
        <v>40</v>
      </c>
      <c r="L391" t="s">
        <v>16</v>
      </c>
      <c r="M391" t="str">
        <f>IF(Table2[[#This Row],[Final_Exam_Score]]&gt;= 50,"Pass","Fail")</f>
        <v>Fail</v>
      </c>
    </row>
    <row r="392" spans="1:13" x14ac:dyDescent="0.25">
      <c r="A392" t="s">
        <v>414</v>
      </c>
      <c r="B392" t="s">
        <v>18</v>
      </c>
      <c r="C392" s="2">
        <v>19</v>
      </c>
      <c r="D392">
        <v>25</v>
      </c>
      <c r="E392">
        <v>95.34</v>
      </c>
      <c r="F392" t="s">
        <v>32</v>
      </c>
      <c r="G392" t="s">
        <v>23</v>
      </c>
      <c r="H392" t="s">
        <v>24</v>
      </c>
      <c r="I392">
        <v>72</v>
      </c>
      <c r="J392">
        <v>6.4</v>
      </c>
      <c r="K392">
        <v>63.829751500972399</v>
      </c>
      <c r="L392" t="s">
        <v>16</v>
      </c>
      <c r="M392" t="str">
        <f>IF(Table2[[#This Row],[Final_Exam_Score]]&gt;= 50,"Pass","Fail")</f>
        <v>Pass</v>
      </c>
    </row>
    <row r="393" spans="1:13" x14ac:dyDescent="0.25">
      <c r="A393" t="s">
        <v>415</v>
      </c>
      <c r="B393" t="s">
        <v>13</v>
      </c>
      <c r="C393" s="2">
        <v>17</v>
      </c>
      <c r="D393">
        <v>28</v>
      </c>
      <c r="E393">
        <v>88.55</v>
      </c>
      <c r="F393" t="s">
        <v>22</v>
      </c>
      <c r="G393" t="s">
        <v>23</v>
      </c>
      <c r="H393" t="s">
        <v>24</v>
      </c>
      <c r="I393">
        <v>85</v>
      </c>
      <c r="J393">
        <v>8.5</v>
      </c>
      <c r="K393">
        <v>56.522905186488103</v>
      </c>
      <c r="L393" t="s">
        <v>16</v>
      </c>
      <c r="M393" t="str">
        <f>IF(Table2[[#This Row],[Final_Exam_Score]]&gt;= 50,"Pass","Fail")</f>
        <v>Pass</v>
      </c>
    </row>
    <row r="394" spans="1:13" x14ac:dyDescent="0.25">
      <c r="A394" t="s">
        <v>416</v>
      </c>
      <c r="B394" t="s">
        <v>13</v>
      </c>
      <c r="C394" s="2">
        <v>18</v>
      </c>
      <c r="D394">
        <v>26</v>
      </c>
      <c r="E394">
        <v>97.97</v>
      </c>
      <c r="F394" t="s">
        <v>14</v>
      </c>
      <c r="G394" t="s">
        <v>23</v>
      </c>
      <c r="H394" t="s">
        <v>16</v>
      </c>
      <c r="I394">
        <v>92</v>
      </c>
      <c r="J394">
        <v>8.1</v>
      </c>
      <c r="K394">
        <v>70.254435014755202</v>
      </c>
      <c r="L394" t="s">
        <v>24</v>
      </c>
      <c r="M394" t="str">
        <f>IF(Table2[[#This Row],[Final_Exam_Score]]&gt;= 50,"Pass","Fail")</f>
        <v>Pass</v>
      </c>
    </row>
    <row r="395" spans="1:13" x14ac:dyDescent="0.25">
      <c r="A395" t="s">
        <v>417</v>
      </c>
      <c r="B395" t="s">
        <v>18</v>
      </c>
      <c r="C395" s="2">
        <v>17</v>
      </c>
      <c r="D395">
        <v>22</v>
      </c>
      <c r="E395">
        <v>70.11</v>
      </c>
      <c r="F395" t="s">
        <v>32</v>
      </c>
      <c r="G395" t="s">
        <v>26</v>
      </c>
      <c r="H395" t="s">
        <v>16</v>
      </c>
      <c r="I395">
        <v>70</v>
      </c>
      <c r="J395">
        <v>6.5</v>
      </c>
      <c r="K395">
        <v>47.781885315894897</v>
      </c>
      <c r="L395" t="s">
        <v>16</v>
      </c>
      <c r="M395" t="str">
        <f>IF(Table2[[#This Row],[Final_Exam_Score]]&gt;= 50,"Pass","Fail")</f>
        <v>Fail</v>
      </c>
    </row>
    <row r="396" spans="1:13" x14ac:dyDescent="0.25">
      <c r="A396" t="s">
        <v>418</v>
      </c>
      <c r="B396" t="s">
        <v>13</v>
      </c>
      <c r="C396" s="2">
        <v>15</v>
      </c>
      <c r="D396">
        <v>15</v>
      </c>
      <c r="E396">
        <v>80.88</v>
      </c>
      <c r="F396" t="s">
        <v>22</v>
      </c>
      <c r="G396" t="s">
        <v>26</v>
      </c>
      <c r="H396" t="s">
        <v>24</v>
      </c>
      <c r="I396">
        <v>70</v>
      </c>
      <c r="J396">
        <v>5.2</v>
      </c>
      <c r="K396">
        <v>60.915064435702703</v>
      </c>
      <c r="L396" t="s">
        <v>16</v>
      </c>
      <c r="M396" t="str">
        <f>IF(Table2[[#This Row],[Final_Exam_Score]]&gt;= 50,"Pass","Fail")</f>
        <v>Pass</v>
      </c>
    </row>
    <row r="397" spans="1:13" x14ac:dyDescent="0.25">
      <c r="A397" t="s">
        <v>419</v>
      </c>
      <c r="B397" t="s">
        <v>13</v>
      </c>
      <c r="C397" s="2">
        <v>17</v>
      </c>
      <c r="D397">
        <v>9</v>
      </c>
      <c r="E397">
        <v>84.02</v>
      </c>
      <c r="F397" t="s">
        <v>22</v>
      </c>
      <c r="G397" t="s">
        <v>15</v>
      </c>
      <c r="H397" t="s">
        <v>24</v>
      </c>
      <c r="I397">
        <v>65</v>
      </c>
      <c r="J397">
        <v>4.5999999999999996</v>
      </c>
      <c r="K397">
        <v>49.798728433007703</v>
      </c>
      <c r="L397" t="s">
        <v>24</v>
      </c>
      <c r="M397" t="str">
        <f>IF(Table2[[#This Row],[Final_Exam_Score]]&gt;= 50,"Pass","Fail")</f>
        <v>Fail</v>
      </c>
    </row>
    <row r="398" spans="1:13" x14ac:dyDescent="0.25">
      <c r="A398" t="s">
        <v>420</v>
      </c>
      <c r="B398" t="s">
        <v>18</v>
      </c>
      <c r="C398" s="2">
        <v>18</v>
      </c>
      <c r="D398">
        <v>15</v>
      </c>
      <c r="E398">
        <v>68.790000000000006</v>
      </c>
      <c r="F398" t="s">
        <v>22</v>
      </c>
      <c r="G398" t="s">
        <v>26</v>
      </c>
      <c r="H398" t="s">
        <v>24</v>
      </c>
      <c r="I398">
        <v>65</v>
      </c>
      <c r="J398">
        <v>8.1999999999999993</v>
      </c>
      <c r="K398">
        <v>49.570039076609802</v>
      </c>
      <c r="L398" t="s">
        <v>24</v>
      </c>
      <c r="M398" t="str">
        <f>IF(Table2[[#This Row],[Final_Exam_Score]]&gt;= 50,"Pass","Fail")</f>
        <v>Fail</v>
      </c>
    </row>
    <row r="399" spans="1:13" x14ac:dyDescent="0.25">
      <c r="A399" t="s">
        <v>421</v>
      </c>
      <c r="B399" t="s">
        <v>18</v>
      </c>
      <c r="C399" s="2">
        <v>20</v>
      </c>
      <c r="D399">
        <v>3</v>
      </c>
      <c r="E399">
        <v>88.69</v>
      </c>
      <c r="F399" t="s">
        <v>22</v>
      </c>
      <c r="G399" t="s">
        <v>23</v>
      </c>
      <c r="H399" t="s">
        <v>16</v>
      </c>
      <c r="I399">
        <v>91</v>
      </c>
      <c r="J399">
        <v>7.4</v>
      </c>
      <c r="K399">
        <v>61.0167329394923</v>
      </c>
      <c r="L399" t="s">
        <v>16</v>
      </c>
      <c r="M399" t="str">
        <f>IF(Table2[[#This Row],[Final_Exam_Score]]&gt;= 50,"Pass","Fail")</f>
        <v>Pass</v>
      </c>
    </row>
    <row r="400" spans="1:13" x14ac:dyDescent="0.25">
      <c r="A400" t="s">
        <v>422</v>
      </c>
      <c r="B400" t="s">
        <v>13</v>
      </c>
      <c r="C400" s="2">
        <v>16</v>
      </c>
      <c r="D400">
        <v>16</v>
      </c>
      <c r="E400">
        <v>84.83</v>
      </c>
      <c r="F400" t="s">
        <v>32</v>
      </c>
      <c r="G400" t="s">
        <v>26</v>
      </c>
      <c r="H400" t="s">
        <v>16</v>
      </c>
      <c r="I400">
        <v>86</v>
      </c>
      <c r="J400">
        <v>5.3</v>
      </c>
      <c r="K400">
        <v>56.583481280789002</v>
      </c>
      <c r="L400" t="s">
        <v>16</v>
      </c>
      <c r="M400" t="str">
        <f>IF(Table2[[#This Row],[Final_Exam_Score]]&gt;= 50,"Pass","Fail")</f>
        <v>Pass</v>
      </c>
    </row>
    <row r="401" spans="1:13" x14ac:dyDescent="0.25">
      <c r="A401" t="s">
        <v>423</v>
      </c>
      <c r="B401" t="s">
        <v>13</v>
      </c>
      <c r="C401" s="2">
        <v>15</v>
      </c>
      <c r="D401">
        <v>4</v>
      </c>
      <c r="E401">
        <v>77.180000000000007</v>
      </c>
      <c r="F401" t="s">
        <v>19</v>
      </c>
      <c r="G401" t="s">
        <v>15</v>
      </c>
      <c r="H401" t="s">
        <v>24</v>
      </c>
      <c r="I401">
        <v>97</v>
      </c>
      <c r="J401">
        <v>7.6</v>
      </c>
      <c r="K401">
        <v>56.189570553878099</v>
      </c>
      <c r="L401" t="s">
        <v>16</v>
      </c>
      <c r="M401" t="str">
        <f>IF(Table2[[#This Row],[Final_Exam_Score]]&gt;= 50,"Pass","Fail")</f>
        <v>Pass</v>
      </c>
    </row>
    <row r="402" spans="1:13" x14ac:dyDescent="0.25">
      <c r="A402" t="s">
        <v>424</v>
      </c>
      <c r="B402" t="s">
        <v>18</v>
      </c>
      <c r="C402" s="2">
        <v>20</v>
      </c>
      <c r="D402">
        <v>27</v>
      </c>
      <c r="E402">
        <v>79.45</v>
      </c>
      <c r="F402" t="s">
        <v>28</v>
      </c>
      <c r="G402" t="s">
        <v>15</v>
      </c>
      <c r="H402" t="s">
        <v>24</v>
      </c>
      <c r="I402">
        <v>89</v>
      </c>
      <c r="J402">
        <v>5.5</v>
      </c>
      <c r="K402">
        <v>58.962751226121803</v>
      </c>
      <c r="L402" t="s">
        <v>16</v>
      </c>
      <c r="M402" t="str">
        <f>IF(Table2[[#This Row],[Final_Exam_Score]]&gt;= 50,"Pass","Fail")</f>
        <v>Pass</v>
      </c>
    </row>
    <row r="403" spans="1:13" x14ac:dyDescent="0.25">
      <c r="A403" t="s">
        <v>425</v>
      </c>
      <c r="B403" t="s">
        <v>18</v>
      </c>
      <c r="C403" s="2">
        <v>15</v>
      </c>
      <c r="D403">
        <v>5</v>
      </c>
      <c r="E403">
        <v>92.87</v>
      </c>
      <c r="F403" t="s">
        <v>22</v>
      </c>
      <c r="G403" t="s">
        <v>26</v>
      </c>
      <c r="H403" t="s">
        <v>16</v>
      </c>
      <c r="I403">
        <v>69</v>
      </c>
      <c r="J403">
        <v>5.3</v>
      </c>
      <c r="K403">
        <v>49.481728190388701</v>
      </c>
      <c r="L403" t="s">
        <v>16</v>
      </c>
      <c r="M403" t="str">
        <f>IF(Table2[[#This Row],[Final_Exam_Score]]&gt;= 50,"Pass","Fail")</f>
        <v>Fail</v>
      </c>
    </row>
    <row r="404" spans="1:13" x14ac:dyDescent="0.25">
      <c r="A404" t="s">
        <v>426</v>
      </c>
      <c r="B404" t="s">
        <v>13</v>
      </c>
      <c r="C404" s="2">
        <v>18</v>
      </c>
      <c r="D404">
        <v>3</v>
      </c>
      <c r="E404">
        <v>77.47</v>
      </c>
      <c r="F404" t="s">
        <v>19</v>
      </c>
      <c r="G404" t="s">
        <v>26</v>
      </c>
      <c r="H404" t="s">
        <v>24</v>
      </c>
      <c r="I404">
        <v>60</v>
      </c>
      <c r="J404">
        <v>7.7</v>
      </c>
      <c r="K404">
        <v>40.772860031621697</v>
      </c>
      <c r="L404" t="s">
        <v>16</v>
      </c>
      <c r="M404" t="str">
        <f>IF(Table2[[#This Row],[Final_Exam_Score]]&gt;= 50,"Pass","Fail")</f>
        <v>Fail</v>
      </c>
    </row>
    <row r="405" spans="1:13" x14ac:dyDescent="0.25">
      <c r="A405" t="s">
        <v>427</v>
      </c>
      <c r="B405" t="s">
        <v>18</v>
      </c>
      <c r="C405" s="2">
        <v>21</v>
      </c>
      <c r="D405">
        <v>4</v>
      </c>
      <c r="E405">
        <v>99.04</v>
      </c>
      <c r="F405" t="s">
        <v>32</v>
      </c>
      <c r="G405" t="s">
        <v>15</v>
      </c>
      <c r="H405" t="s">
        <v>24</v>
      </c>
      <c r="I405">
        <v>86</v>
      </c>
      <c r="J405">
        <v>7.7</v>
      </c>
      <c r="K405">
        <v>57.218512325342502</v>
      </c>
      <c r="L405" t="s">
        <v>16</v>
      </c>
      <c r="M405" t="str">
        <f>IF(Table2[[#This Row],[Final_Exam_Score]]&gt;= 50,"Pass","Fail")</f>
        <v>Pass</v>
      </c>
    </row>
    <row r="406" spans="1:13" x14ac:dyDescent="0.25">
      <c r="A406" t="s">
        <v>428</v>
      </c>
      <c r="B406" t="s">
        <v>13</v>
      </c>
      <c r="C406" s="2">
        <v>20</v>
      </c>
      <c r="D406">
        <v>24</v>
      </c>
      <c r="E406">
        <v>97.14</v>
      </c>
      <c r="F406" t="s">
        <v>14</v>
      </c>
      <c r="G406" t="s">
        <v>26</v>
      </c>
      <c r="H406" t="s">
        <v>24</v>
      </c>
      <c r="I406">
        <v>52</v>
      </c>
      <c r="J406">
        <v>8.1</v>
      </c>
      <c r="K406">
        <v>43.4596735706617</v>
      </c>
      <c r="L406" t="s">
        <v>16</v>
      </c>
      <c r="M406" t="str">
        <f>IF(Table2[[#This Row],[Final_Exam_Score]]&gt;= 50,"Pass","Fail")</f>
        <v>Fail</v>
      </c>
    </row>
    <row r="407" spans="1:13" x14ac:dyDescent="0.25">
      <c r="A407" t="s">
        <v>429</v>
      </c>
      <c r="B407" t="s">
        <v>18</v>
      </c>
      <c r="C407" s="2">
        <v>17</v>
      </c>
      <c r="D407">
        <v>22</v>
      </c>
      <c r="E407">
        <v>67.73</v>
      </c>
      <c r="F407" t="s">
        <v>22</v>
      </c>
      <c r="G407" t="s">
        <v>23</v>
      </c>
      <c r="H407" t="s">
        <v>24</v>
      </c>
      <c r="I407">
        <v>77</v>
      </c>
      <c r="J407">
        <v>8.1999999999999993</v>
      </c>
      <c r="K407">
        <v>48.863030675231499</v>
      </c>
      <c r="L407" t="s">
        <v>24</v>
      </c>
      <c r="M407" t="str">
        <f>IF(Table2[[#This Row],[Final_Exam_Score]]&gt;= 50,"Pass","Fail")</f>
        <v>Fail</v>
      </c>
    </row>
    <row r="408" spans="1:13" x14ac:dyDescent="0.25">
      <c r="A408" t="s">
        <v>430</v>
      </c>
      <c r="B408" t="s">
        <v>18</v>
      </c>
      <c r="C408" s="2">
        <v>20</v>
      </c>
      <c r="D408">
        <v>16</v>
      </c>
      <c r="E408">
        <v>94.83</v>
      </c>
      <c r="F408" t="s">
        <v>19</v>
      </c>
      <c r="G408" t="s">
        <v>23</v>
      </c>
      <c r="H408" t="s">
        <v>24</v>
      </c>
      <c r="I408">
        <v>70</v>
      </c>
      <c r="J408">
        <v>6.7</v>
      </c>
      <c r="K408">
        <v>54.537830503983102</v>
      </c>
      <c r="L408" t="s">
        <v>24</v>
      </c>
      <c r="M408" t="str">
        <f>IF(Table2[[#This Row],[Final_Exam_Score]]&gt;= 50,"Pass","Fail")</f>
        <v>Pass</v>
      </c>
    </row>
    <row r="409" spans="1:13" x14ac:dyDescent="0.25">
      <c r="A409" t="s">
        <v>431</v>
      </c>
      <c r="B409" t="s">
        <v>18</v>
      </c>
      <c r="C409" s="2">
        <v>16</v>
      </c>
      <c r="D409">
        <v>4</v>
      </c>
      <c r="E409">
        <v>88.58</v>
      </c>
      <c r="F409" t="s">
        <v>19</v>
      </c>
      <c r="G409" t="s">
        <v>15</v>
      </c>
      <c r="H409" t="s">
        <v>24</v>
      </c>
      <c r="I409">
        <v>49</v>
      </c>
      <c r="J409">
        <v>5.3</v>
      </c>
      <c r="K409">
        <v>40</v>
      </c>
      <c r="L409" t="s">
        <v>16</v>
      </c>
      <c r="M409" t="str">
        <f>IF(Table2[[#This Row],[Final_Exam_Score]]&gt;= 50,"Pass","Fail")</f>
        <v>Fail</v>
      </c>
    </row>
    <row r="410" spans="1:13" x14ac:dyDescent="0.25">
      <c r="A410" t="s">
        <v>432</v>
      </c>
      <c r="B410" t="s">
        <v>13</v>
      </c>
      <c r="C410" s="2">
        <v>18</v>
      </c>
      <c r="D410">
        <v>10</v>
      </c>
      <c r="E410">
        <v>66.94</v>
      </c>
      <c r="F410" t="s">
        <v>14</v>
      </c>
      <c r="G410" t="s">
        <v>26</v>
      </c>
      <c r="H410" t="s">
        <v>24</v>
      </c>
      <c r="I410">
        <v>68</v>
      </c>
      <c r="J410">
        <v>7</v>
      </c>
      <c r="K410">
        <v>46.011228133699198</v>
      </c>
      <c r="L410" t="s">
        <v>16</v>
      </c>
      <c r="M410" t="str">
        <f>IF(Table2[[#This Row],[Final_Exam_Score]]&gt;= 50,"Pass","Fail")</f>
        <v>Fail</v>
      </c>
    </row>
    <row r="411" spans="1:13" x14ac:dyDescent="0.25">
      <c r="A411" t="s">
        <v>433</v>
      </c>
      <c r="B411" t="s">
        <v>18</v>
      </c>
      <c r="C411" s="2">
        <v>15</v>
      </c>
      <c r="D411">
        <v>10</v>
      </c>
      <c r="E411">
        <v>98.44</v>
      </c>
      <c r="F411" t="s">
        <v>19</v>
      </c>
      <c r="G411" t="s">
        <v>23</v>
      </c>
      <c r="H411" t="s">
        <v>24</v>
      </c>
      <c r="I411">
        <v>98</v>
      </c>
      <c r="J411">
        <v>5.5</v>
      </c>
      <c r="K411">
        <v>65.242854692942203</v>
      </c>
      <c r="L411" t="s">
        <v>24</v>
      </c>
      <c r="M411" t="str">
        <f>IF(Table2[[#This Row],[Final_Exam_Score]]&gt;= 50,"Pass","Fail")</f>
        <v>Pass</v>
      </c>
    </row>
    <row r="412" spans="1:13" x14ac:dyDescent="0.25">
      <c r="A412" t="s">
        <v>434</v>
      </c>
      <c r="B412" t="s">
        <v>18</v>
      </c>
      <c r="C412" s="2">
        <v>15</v>
      </c>
      <c r="D412">
        <v>5</v>
      </c>
      <c r="E412">
        <v>94.17</v>
      </c>
      <c r="F412" t="s">
        <v>19</v>
      </c>
      <c r="G412" t="s">
        <v>26</v>
      </c>
      <c r="H412" t="s">
        <v>24</v>
      </c>
      <c r="I412">
        <v>83</v>
      </c>
      <c r="J412">
        <v>8</v>
      </c>
      <c r="K412">
        <v>57.973957010638799</v>
      </c>
      <c r="L412" t="s">
        <v>24</v>
      </c>
      <c r="M412" t="str">
        <f>IF(Table2[[#This Row],[Final_Exam_Score]]&gt;= 50,"Pass","Fail")</f>
        <v>Pass</v>
      </c>
    </row>
    <row r="413" spans="1:13" x14ac:dyDescent="0.25">
      <c r="A413" t="s">
        <v>435</v>
      </c>
      <c r="B413" t="s">
        <v>18</v>
      </c>
      <c r="C413" s="2">
        <v>15</v>
      </c>
      <c r="D413">
        <v>21</v>
      </c>
      <c r="E413">
        <v>94.14</v>
      </c>
      <c r="F413" t="s">
        <v>28</v>
      </c>
      <c r="G413" t="s">
        <v>23</v>
      </c>
      <c r="H413" t="s">
        <v>24</v>
      </c>
      <c r="I413">
        <v>97</v>
      </c>
      <c r="J413">
        <v>4.5999999999999996</v>
      </c>
      <c r="K413">
        <v>66.397745052328204</v>
      </c>
      <c r="L413" t="s">
        <v>16</v>
      </c>
      <c r="M413" t="str">
        <f>IF(Table2[[#This Row],[Final_Exam_Score]]&gt;= 50,"Pass","Fail")</f>
        <v>Pass</v>
      </c>
    </row>
    <row r="414" spans="1:13" x14ac:dyDescent="0.25">
      <c r="A414" t="s">
        <v>436</v>
      </c>
      <c r="B414" t="s">
        <v>18</v>
      </c>
      <c r="C414" s="2">
        <v>15</v>
      </c>
      <c r="D414">
        <v>12</v>
      </c>
      <c r="E414">
        <v>97.05</v>
      </c>
      <c r="F414" t="s">
        <v>32</v>
      </c>
      <c r="G414" t="s">
        <v>26</v>
      </c>
      <c r="H414" t="s">
        <v>24</v>
      </c>
      <c r="I414">
        <v>47</v>
      </c>
      <c r="J414">
        <v>5.6</v>
      </c>
      <c r="K414">
        <v>40.648643986805403</v>
      </c>
      <c r="L414" t="s">
        <v>16</v>
      </c>
      <c r="M414" t="str">
        <f>IF(Table2[[#This Row],[Final_Exam_Score]]&gt;= 50,"Pass","Fail")</f>
        <v>Fail</v>
      </c>
    </row>
    <row r="415" spans="1:13" x14ac:dyDescent="0.25">
      <c r="A415" t="s">
        <v>437</v>
      </c>
      <c r="B415" t="s">
        <v>18</v>
      </c>
      <c r="C415" s="2">
        <v>21</v>
      </c>
      <c r="D415">
        <v>25</v>
      </c>
      <c r="E415">
        <v>97.24</v>
      </c>
      <c r="F415" t="s">
        <v>14</v>
      </c>
      <c r="G415" t="s">
        <v>15</v>
      </c>
      <c r="H415" t="s">
        <v>16</v>
      </c>
      <c r="I415">
        <v>93</v>
      </c>
      <c r="J415">
        <v>4.2</v>
      </c>
      <c r="K415">
        <v>59.821863903959503</v>
      </c>
      <c r="L415" t="s">
        <v>16</v>
      </c>
      <c r="M415" t="str">
        <f>IF(Table2[[#This Row],[Final_Exam_Score]]&gt;= 50,"Pass","Fail")</f>
        <v>Pass</v>
      </c>
    </row>
    <row r="416" spans="1:13" x14ac:dyDescent="0.25">
      <c r="A416" t="s">
        <v>438</v>
      </c>
      <c r="B416" t="s">
        <v>13</v>
      </c>
      <c r="C416" s="2">
        <v>15</v>
      </c>
      <c r="D416">
        <v>27</v>
      </c>
      <c r="E416">
        <v>72.67</v>
      </c>
      <c r="F416" t="s">
        <v>22</v>
      </c>
      <c r="G416" t="s">
        <v>26</v>
      </c>
      <c r="H416" t="s">
        <v>16</v>
      </c>
      <c r="I416">
        <v>67</v>
      </c>
      <c r="J416">
        <v>6.2</v>
      </c>
      <c r="K416">
        <v>55.223286150985501</v>
      </c>
      <c r="L416" t="s">
        <v>24</v>
      </c>
      <c r="M416" t="str">
        <f>IF(Table2[[#This Row],[Final_Exam_Score]]&gt;= 50,"Pass","Fail")</f>
        <v>Pass</v>
      </c>
    </row>
    <row r="417" spans="1:13" x14ac:dyDescent="0.25">
      <c r="A417" t="s">
        <v>439</v>
      </c>
      <c r="B417" t="s">
        <v>13</v>
      </c>
      <c r="C417" s="2">
        <v>17</v>
      </c>
      <c r="D417">
        <v>27</v>
      </c>
      <c r="E417">
        <v>97.81</v>
      </c>
      <c r="F417" t="s">
        <v>28</v>
      </c>
      <c r="G417" t="s">
        <v>26</v>
      </c>
      <c r="H417" t="s">
        <v>24</v>
      </c>
      <c r="I417">
        <v>88</v>
      </c>
      <c r="J417">
        <v>4.7</v>
      </c>
      <c r="K417">
        <v>59.398623908108902</v>
      </c>
      <c r="L417" t="s">
        <v>24</v>
      </c>
      <c r="M417" t="str">
        <f>IF(Table2[[#This Row],[Final_Exam_Score]]&gt;= 50,"Pass","Fail")</f>
        <v>Pass</v>
      </c>
    </row>
    <row r="418" spans="1:13" x14ac:dyDescent="0.25">
      <c r="A418" t="s">
        <v>440</v>
      </c>
      <c r="B418" t="s">
        <v>18</v>
      </c>
      <c r="C418" s="2">
        <v>16</v>
      </c>
      <c r="D418">
        <v>11</v>
      </c>
      <c r="E418">
        <v>66.680000000000007</v>
      </c>
      <c r="F418" t="s">
        <v>22</v>
      </c>
      <c r="G418" t="s">
        <v>15</v>
      </c>
      <c r="H418" t="s">
        <v>16</v>
      </c>
      <c r="I418">
        <v>87</v>
      </c>
      <c r="J418">
        <v>8.9</v>
      </c>
      <c r="K418">
        <v>51.436583170306299</v>
      </c>
      <c r="L418" t="s">
        <v>16</v>
      </c>
      <c r="M418" t="str">
        <f>IF(Table2[[#This Row],[Final_Exam_Score]]&gt;= 50,"Pass","Fail")</f>
        <v>Pass</v>
      </c>
    </row>
    <row r="419" spans="1:13" x14ac:dyDescent="0.25">
      <c r="A419" t="s">
        <v>441</v>
      </c>
      <c r="B419" t="s">
        <v>18</v>
      </c>
      <c r="C419" s="2">
        <v>17</v>
      </c>
      <c r="D419">
        <v>11</v>
      </c>
      <c r="E419">
        <v>95.85</v>
      </c>
      <c r="F419" t="s">
        <v>28</v>
      </c>
      <c r="G419" t="s">
        <v>15</v>
      </c>
      <c r="H419" t="s">
        <v>16</v>
      </c>
      <c r="I419">
        <v>85</v>
      </c>
      <c r="J419">
        <v>5.8</v>
      </c>
      <c r="K419">
        <v>64.5585933385766</v>
      </c>
      <c r="L419" t="s">
        <v>16</v>
      </c>
      <c r="M419" t="str">
        <f>IF(Table2[[#This Row],[Final_Exam_Score]]&gt;= 50,"Pass","Fail")</f>
        <v>Pass</v>
      </c>
    </row>
    <row r="420" spans="1:13" x14ac:dyDescent="0.25">
      <c r="A420" t="s">
        <v>442</v>
      </c>
      <c r="B420" t="s">
        <v>18</v>
      </c>
      <c r="C420" s="2">
        <v>20</v>
      </c>
      <c r="D420">
        <v>5</v>
      </c>
      <c r="E420">
        <v>80.98</v>
      </c>
      <c r="F420" t="s">
        <v>19</v>
      </c>
      <c r="G420" t="s">
        <v>23</v>
      </c>
      <c r="H420" t="s">
        <v>24</v>
      </c>
      <c r="I420">
        <v>74</v>
      </c>
      <c r="J420">
        <v>7.9</v>
      </c>
      <c r="K420">
        <v>43.331087309396601</v>
      </c>
      <c r="L420" t="s">
        <v>24</v>
      </c>
      <c r="M420" t="str">
        <f>IF(Table2[[#This Row],[Final_Exam_Score]]&gt;= 50,"Pass","Fail")</f>
        <v>Fail</v>
      </c>
    </row>
    <row r="421" spans="1:13" x14ac:dyDescent="0.25">
      <c r="A421" t="s">
        <v>443</v>
      </c>
      <c r="B421" t="s">
        <v>18</v>
      </c>
      <c r="C421" s="2">
        <v>16</v>
      </c>
      <c r="D421">
        <v>27</v>
      </c>
      <c r="E421">
        <v>94.09</v>
      </c>
      <c r="F421" t="s">
        <v>14</v>
      </c>
      <c r="G421" t="s">
        <v>15</v>
      </c>
      <c r="H421" t="s">
        <v>16</v>
      </c>
      <c r="I421">
        <v>54</v>
      </c>
      <c r="J421">
        <v>8.1</v>
      </c>
      <c r="K421">
        <v>47.155685545282402</v>
      </c>
      <c r="L421" t="s">
        <v>24</v>
      </c>
      <c r="M421" t="str">
        <f>IF(Table2[[#This Row],[Final_Exam_Score]]&gt;= 50,"Pass","Fail")</f>
        <v>Fail</v>
      </c>
    </row>
    <row r="422" spans="1:13" x14ac:dyDescent="0.25">
      <c r="A422" t="s">
        <v>444</v>
      </c>
      <c r="B422" t="s">
        <v>18</v>
      </c>
      <c r="C422" s="2">
        <v>17</v>
      </c>
      <c r="D422">
        <v>18</v>
      </c>
      <c r="E422">
        <v>74.56</v>
      </c>
      <c r="F422" t="s">
        <v>28</v>
      </c>
      <c r="G422" t="s">
        <v>23</v>
      </c>
      <c r="H422" t="s">
        <v>24</v>
      </c>
      <c r="I422">
        <v>49</v>
      </c>
      <c r="J422">
        <v>4.5</v>
      </c>
      <c r="K422">
        <v>40.5044655649587</v>
      </c>
      <c r="L422" t="s">
        <v>24</v>
      </c>
      <c r="M422" t="str">
        <f>IF(Table2[[#This Row],[Final_Exam_Score]]&gt;= 50,"Pass","Fail")</f>
        <v>Fail</v>
      </c>
    </row>
    <row r="423" spans="1:13" x14ac:dyDescent="0.25">
      <c r="A423" t="s">
        <v>445</v>
      </c>
      <c r="B423" t="s">
        <v>18</v>
      </c>
      <c r="C423" s="2">
        <v>18</v>
      </c>
      <c r="D423">
        <v>26</v>
      </c>
      <c r="E423">
        <v>91.42</v>
      </c>
      <c r="F423" t="s">
        <v>19</v>
      </c>
      <c r="G423" t="s">
        <v>23</v>
      </c>
      <c r="H423" t="s">
        <v>16</v>
      </c>
      <c r="I423">
        <v>53</v>
      </c>
      <c r="J423">
        <v>7.3</v>
      </c>
      <c r="K423">
        <v>40</v>
      </c>
      <c r="L423" t="s">
        <v>16</v>
      </c>
      <c r="M423" t="str">
        <f>IF(Table2[[#This Row],[Final_Exam_Score]]&gt;= 50,"Pass","Fail")</f>
        <v>Fail</v>
      </c>
    </row>
    <row r="424" spans="1:13" x14ac:dyDescent="0.25">
      <c r="A424" t="s">
        <v>446</v>
      </c>
      <c r="B424" t="s">
        <v>18</v>
      </c>
      <c r="C424" s="2">
        <v>15</v>
      </c>
      <c r="D424">
        <v>12</v>
      </c>
      <c r="E424">
        <v>93.16</v>
      </c>
      <c r="F424" t="s">
        <v>28</v>
      </c>
      <c r="G424" t="s">
        <v>23</v>
      </c>
      <c r="H424" t="s">
        <v>16</v>
      </c>
      <c r="I424">
        <v>84</v>
      </c>
      <c r="J424">
        <v>5.7</v>
      </c>
      <c r="K424">
        <v>50.487121880632102</v>
      </c>
      <c r="L424" t="s">
        <v>16</v>
      </c>
      <c r="M424" t="str">
        <f>IF(Table2[[#This Row],[Final_Exam_Score]]&gt;= 50,"Pass","Fail")</f>
        <v>Pass</v>
      </c>
    </row>
    <row r="425" spans="1:13" x14ac:dyDescent="0.25">
      <c r="A425" t="s">
        <v>447</v>
      </c>
      <c r="B425" t="s">
        <v>18</v>
      </c>
      <c r="C425" s="2">
        <v>21</v>
      </c>
      <c r="D425">
        <v>28</v>
      </c>
      <c r="E425">
        <v>67.83</v>
      </c>
      <c r="F425" t="s">
        <v>32</v>
      </c>
      <c r="G425" t="s">
        <v>15</v>
      </c>
      <c r="H425" t="s">
        <v>16</v>
      </c>
      <c r="I425">
        <v>81</v>
      </c>
      <c r="J425">
        <v>5.5</v>
      </c>
      <c r="K425">
        <v>60.622824252633102</v>
      </c>
      <c r="L425" t="s">
        <v>24</v>
      </c>
      <c r="M425" t="str">
        <f>IF(Table2[[#This Row],[Final_Exam_Score]]&gt;= 50,"Pass","Fail")</f>
        <v>Pass</v>
      </c>
    </row>
    <row r="426" spans="1:13" x14ac:dyDescent="0.25">
      <c r="A426" t="s">
        <v>448</v>
      </c>
      <c r="B426" t="s">
        <v>18</v>
      </c>
      <c r="C426" s="2">
        <v>18</v>
      </c>
      <c r="D426">
        <v>25</v>
      </c>
      <c r="E426">
        <v>97</v>
      </c>
      <c r="F426" t="s">
        <v>14</v>
      </c>
      <c r="G426" t="s">
        <v>23</v>
      </c>
      <c r="H426" t="s">
        <v>16</v>
      </c>
      <c r="I426">
        <v>86</v>
      </c>
      <c r="J426">
        <v>7.8</v>
      </c>
      <c r="K426">
        <v>63.560481555100402</v>
      </c>
      <c r="L426" t="s">
        <v>16</v>
      </c>
      <c r="M426" t="str">
        <f>IF(Table2[[#This Row],[Final_Exam_Score]]&gt;= 50,"Pass","Fail")</f>
        <v>Pass</v>
      </c>
    </row>
    <row r="427" spans="1:13" x14ac:dyDescent="0.25">
      <c r="A427" t="s">
        <v>449</v>
      </c>
      <c r="B427" t="s">
        <v>18</v>
      </c>
      <c r="C427" s="2">
        <v>21</v>
      </c>
      <c r="D427">
        <v>16</v>
      </c>
      <c r="E427">
        <v>93.6</v>
      </c>
      <c r="F427" t="s">
        <v>32</v>
      </c>
      <c r="G427" t="s">
        <v>23</v>
      </c>
      <c r="H427" t="s">
        <v>24</v>
      </c>
      <c r="I427">
        <v>80</v>
      </c>
      <c r="J427">
        <v>5.3</v>
      </c>
      <c r="K427">
        <v>59.647611344299101</v>
      </c>
      <c r="L427" t="s">
        <v>24</v>
      </c>
      <c r="M427" t="str">
        <f>IF(Table2[[#This Row],[Final_Exam_Score]]&gt;= 50,"Pass","Fail")</f>
        <v>Pass</v>
      </c>
    </row>
    <row r="428" spans="1:13" x14ac:dyDescent="0.25">
      <c r="A428" t="s">
        <v>450</v>
      </c>
      <c r="B428" t="s">
        <v>18</v>
      </c>
      <c r="C428" s="2">
        <v>16</v>
      </c>
      <c r="D428">
        <v>13</v>
      </c>
      <c r="E428">
        <v>85.84</v>
      </c>
      <c r="F428" t="s">
        <v>22</v>
      </c>
      <c r="G428" t="s">
        <v>15</v>
      </c>
      <c r="H428" t="s">
        <v>24</v>
      </c>
      <c r="I428">
        <v>69</v>
      </c>
      <c r="J428">
        <v>5.5</v>
      </c>
      <c r="K428">
        <v>49.947041741593601</v>
      </c>
      <c r="L428" t="s">
        <v>24</v>
      </c>
      <c r="M428" t="str">
        <f>IF(Table2[[#This Row],[Final_Exam_Score]]&gt;= 50,"Pass","Fail")</f>
        <v>Fail</v>
      </c>
    </row>
    <row r="429" spans="1:13" x14ac:dyDescent="0.25">
      <c r="A429" t="s">
        <v>451</v>
      </c>
      <c r="B429" t="s">
        <v>18</v>
      </c>
      <c r="C429" s="2">
        <v>16</v>
      </c>
      <c r="D429">
        <v>26</v>
      </c>
      <c r="E429">
        <v>89.78</v>
      </c>
      <c r="F429" t="s">
        <v>32</v>
      </c>
      <c r="G429" t="s">
        <v>15</v>
      </c>
      <c r="H429" t="s">
        <v>24</v>
      </c>
      <c r="I429">
        <v>89</v>
      </c>
      <c r="J429">
        <v>7.8</v>
      </c>
      <c r="K429">
        <v>51.591806097957601</v>
      </c>
      <c r="L429" t="s">
        <v>16</v>
      </c>
      <c r="M429" t="str">
        <f>IF(Table2[[#This Row],[Final_Exam_Score]]&gt;= 50,"Pass","Fail")</f>
        <v>Pass</v>
      </c>
    </row>
    <row r="430" spans="1:13" x14ac:dyDescent="0.25">
      <c r="A430" t="s">
        <v>452</v>
      </c>
      <c r="B430" t="s">
        <v>18</v>
      </c>
      <c r="C430" s="2">
        <v>19</v>
      </c>
      <c r="D430">
        <v>27</v>
      </c>
      <c r="E430">
        <v>77.099999999999994</v>
      </c>
      <c r="F430" t="s">
        <v>19</v>
      </c>
      <c r="G430" t="s">
        <v>23</v>
      </c>
      <c r="H430" t="s">
        <v>24</v>
      </c>
      <c r="I430">
        <v>71</v>
      </c>
      <c r="J430">
        <v>5.7</v>
      </c>
      <c r="K430">
        <v>46.827259585578297</v>
      </c>
      <c r="L430" t="s">
        <v>16</v>
      </c>
      <c r="M430" t="str">
        <f>IF(Table2[[#This Row],[Final_Exam_Score]]&gt;= 50,"Pass","Fail")</f>
        <v>Fail</v>
      </c>
    </row>
    <row r="431" spans="1:13" x14ac:dyDescent="0.25">
      <c r="A431" t="s">
        <v>453</v>
      </c>
      <c r="B431" t="s">
        <v>13</v>
      </c>
      <c r="C431" s="2">
        <v>15</v>
      </c>
      <c r="D431">
        <v>8</v>
      </c>
      <c r="E431">
        <v>81.47</v>
      </c>
      <c r="F431" t="s">
        <v>22</v>
      </c>
      <c r="G431" t="s">
        <v>15</v>
      </c>
      <c r="H431" t="s">
        <v>24</v>
      </c>
      <c r="I431">
        <v>53</v>
      </c>
      <c r="J431">
        <v>6</v>
      </c>
      <c r="K431">
        <v>40</v>
      </c>
      <c r="L431" t="s">
        <v>16</v>
      </c>
      <c r="M431" t="str">
        <f>IF(Table2[[#This Row],[Final_Exam_Score]]&gt;= 50,"Pass","Fail")</f>
        <v>Fail</v>
      </c>
    </row>
    <row r="432" spans="1:13" x14ac:dyDescent="0.25">
      <c r="A432" t="s">
        <v>454</v>
      </c>
      <c r="B432" t="s">
        <v>13</v>
      </c>
      <c r="C432" s="2">
        <v>15</v>
      </c>
      <c r="D432">
        <v>25</v>
      </c>
      <c r="E432">
        <v>70.16</v>
      </c>
      <c r="F432" t="s">
        <v>22</v>
      </c>
      <c r="G432" t="s">
        <v>15</v>
      </c>
      <c r="H432" t="s">
        <v>16</v>
      </c>
      <c r="I432">
        <v>96</v>
      </c>
      <c r="J432">
        <v>7.7</v>
      </c>
      <c r="K432">
        <v>63.140608003518501</v>
      </c>
      <c r="L432" t="s">
        <v>24</v>
      </c>
      <c r="M432" t="str">
        <f>IF(Table2[[#This Row],[Final_Exam_Score]]&gt;= 50,"Pass","Fail")</f>
        <v>Pass</v>
      </c>
    </row>
    <row r="433" spans="1:13" x14ac:dyDescent="0.25">
      <c r="A433" t="s">
        <v>455</v>
      </c>
      <c r="B433" t="s">
        <v>18</v>
      </c>
      <c r="C433" s="2">
        <v>16</v>
      </c>
      <c r="D433">
        <v>14</v>
      </c>
      <c r="E433">
        <v>82.5</v>
      </c>
      <c r="F433" t="s">
        <v>22</v>
      </c>
      <c r="G433" t="s">
        <v>26</v>
      </c>
      <c r="H433" t="s">
        <v>24</v>
      </c>
      <c r="I433">
        <v>88</v>
      </c>
      <c r="J433">
        <v>4.7</v>
      </c>
      <c r="K433">
        <v>69.451297924364198</v>
      </c>
      <c r="L433" t="s">
        <v>16</v>
      </c>
      <c r="M433" t="str">
        <f>IF(Table2[[#This Row],[Final_Exam_Score]]&gt;= 50,"Pass","Fail")</f>
        <v>Pass</v>
      </c>
    </row>
    <row r="434" spans="1:13" x14ac:dyDescent="0.25">
      <c r="A434" t="s">
        <v>456</v>
      </c>
      <c r="B434" t="s">
        <v>18</v>
      </c>
      <c r="C434" s="2">
        <v>19</v>
      </c>
      <c r="D434">
        <v>4</v>
      </c>
      <c r="E434">
        <v>92.4</v>
      </c>
      <c r="F434" t="s">
        <v>14</v>
      </c>
      <c r="G434" t="s">
        <v>15</v>
      </c>
      <c r="H434" t="s">
        <v>24</v>
      </c>
      <c r="I434">
        <v>72</v>
      </c>
      <c r="J434">
        <v>7.5</v>
      </c>
      <c r="K434">
        <v>40.643126571440497</v>
      </c>
      <c r="L434" t="s">
        <v>16</v>
      </c>
      <c r="M434" t="str">
        <f>IF(Table2[[#This Row],[Final_Exam_Score]]&gt;= 50,"Pass","Fail")</f>
        <v>Fail</v>
      </c>
    </row>
    <row r="435" spans="1:13" x14ac:dyDescent="0.25">
      <c r="A435" t="s">
        <v>457</v>
      </c>
      <c r="B435" t="s">
        <v>18</v>
      </c>
      <c r="C435" s="2">
        <v>21</v>
      </c>
      <c r="D435">
        <v>23</v>
      </c>
      <c r="E435">
        <v>84.54</v>
      </c>
      <c r="F435" t="s">
        <v>22</v>
      </c>
      <c r="G435" t="s">
        <v>26</v>
      </c>
      <c r="H435" t="s">
        <v>24</v>
      </c>
      <c r="I435">
        <v>85</v>
      </c>
      <c r="J435">
        <v>5.6</v>
      </c>
      <c r="K435">
        <v>63.163693529746801</v>
      </c>
      <c r="L435" t="s">
        <v>16</v>
      </c>
      <c r="M435" t="str">
        <f>IF(Table2[[#This Row],[Final_Exam_Score]]&gt;= 50,"Pass","Fail")</f>
        <v>Pass</v>
      </c>
    </row>
    <row r="436" spans="1:13" x14ac:dyDescent="0.25">
      <c r="A436" t="s">
        <v>458</v>
      </c>
      <c r="B436" t="s">
        <v>13</v>
      </c>
      <c r="C436" s="2">
        <v>21</v>
      </c>
      <c r="D436">
        <v>22</v>
      </c>
      <c r="E436">
        <v>69.67</v>
      </c>
      <c r="F436" t="s">
        <v>32</v>
      </c>
      <c r="G436" t="s">
        <v>26</v>
      </c>
      <c r="H436" t="s">
        <v>24</v>
      </c>
      <c r="I436">
        <v>82</v>
      </c>
      <c r="J436">
        <v>8.1999999999999993</v>
      </c>
      <c r="K436">
        <v>58.7813786455784</v>
      </c>
      <c r="L436" t="s">
        <v>24</v>
      </c>
      <c r="M436" t="str">
        <f>IF(Table2[[#This Row],[Final_Exam_Score]]&gt;= 50,"Pass","Fail")</f>
        <v>Pass</v>
      </c>
    </row>
    <row r="437" spans="1:13" x14ac:dyDescent="0.25">
      <c r="A437" t="s">
        <v>459</v>
      </c>
      <c r="B437" t="s">
        <v>13</v>
      </c>
      <c r="C437" s="2">
        <v>15</v>
      </c>
      <c r="D437">
        <v>15</v>
      </c>
      <c r="E437">
        <v>94.03</v>
      </c>
      <c r="F437" t="s">
        <v>22</v>
      </c>
      <c r="G437" t="s">
        <v>15</v>
      </c>
      <c r="H437" t="s">
        <v>16</v>
      </c>
      <c r="I437">
        <v>89</v>
      </c>
      <c r="J437">
        <v>7.1</v>
      </c>
      <c r="K437">
        <v>59.839648284628602</v>
      </c>
      <c r="L437" t="s">
        <v>16</v>
      </c>
      <c r="M437" t="str">
        <f>IF(Table2[[#This Row],[Final_Exam_Score]]&gt;= 50,"Pass","Fail")</f>
        <v>Pass</v>
      </c>
    </row>
    <row r="438" spans="1:13" x14ac:dyDescent="0.25">
      <c r="A438" t="s">
        <v>460</v>
      </c>
      <c r="B438" t="s">
        <v>18</v>
      </c>
      <c r="C438" s="2">
        <v>15</v>
      </c>
      <c r="D438">
        <v>4</v>
      </c>
      <c r="E438">
        <v>90.83</v>
      </c>
      <c r="F438" t="s">
        <v>14</v>
      </c>
      <c r="G438" t="s">
        <v>26</v>
      </c>
      <c r="H438" t="s">
        <v>16</v>
      </c>
      <c r="I438">
        <v>50</v>
      </c>
      <c r="J438">
        <v>4</v>
      </c>
      <c r="K438">
        <v>40</v>
      </c>
      <c r="L438" t="s">
        <v>24</v>
      </c>
      <c r="M438" t="str">
        <f>IF(Table2[[#This Row],[Final_Exam_Score]]&gt;= 50,"Pass","Fail")</f>
        <v>Fail</v>
      </c>
    </row>
    <row r="439" spans="1:13" x14ac:dyDescent="0.25">
      <c r="A439" t="s">
        <v>461</v>
      </c>
      <c r="B439" t="s">
        <v>13</v>
      </c>
      <c r="C439" s="2">
        <v>18</v>
      </c>
      <c r="D439">
        <v>25</v>
      </c>
      <c r="E439">
        <v>66.31</v>
      </c>
      <c r="F439" t="s">
        <v>28</v>
      </c>
      <c r="G439" t="s">
        <v>23</v>
      </c>
      <c r="H439" t="s">
        <v>16</v>
      </c>
      <c r="I439">
        <v>89</v>
      </c>
      <c r="J439">
        <v>4.7</v>
      </c>
      <c r="K439">
        <v>52.028568195570102</v>
      </c>
      <c r="L439" t="s">
        <v>16</v>
      </c>
      <c r="M439" t="str">
        <f>IF(Table2[[#This Row],[Final_Exam_Score]]&gt;= 50,"Pass","Fail")</f>
        <v>Pass</v>
      </c>
    </row>
    <row r="440" spans="1:13" x14ac:dyDescent="0.25">
      <c r="A440" t="s">
        <v>462</v>
      </c>
      <c r="B440" t="s">
        <v>13</v>
      </c>
      <c r="C440" s="2">
        <v>17</v>
      </c>
      <c r="D440">
        <v>14</v>
      </c>
      <c r="E440">
        <v>93.17</v>
      </c>
      <c r="F440" t="s">
        <v>14</v>
      </c>
      <c r="G440" t="s">
        <v>23</v>
      </c>
      <c r="H440" t="s">
        <v>16</v>
      </c>
      <c r="I440">
        <v>95</v>
      </c>
      <c r="J440">
        <v>7.8</v>
      </c>
      <c r="K440">
        <v>50.733918812545902</v>
      </c>
      <c r="L440" t="s">
        <v>24</v>
      </c>
      <c r="M440" t="str">
        <f>IF(Table2[[#This Row],[Final_Exam_Score]]&gt;= 50,"Pass","Fail")</f>
        <v>Pass</v>
      </c>
    </row>
    <row r="441" spans="1:13" x14ac:dyDescent="0.25">
      <c r="A441" t="s">
        <v>463</v>
      </c>
      <c r="B441" t="s">
        <v>13</v>
      </c>
      <c r="C441" s="2">
        <v>19</v>
      </c>
      <c r="D441">
        <v>7</v>
      </c>
      <c r="E441">
        <v>95.28</v>
      </c>
      <c r="F441" t="s">
        <v>14</v>
      </c>
      <c r="G441" t="s">
        <v>23</v>
      </c>
      <c r="H441" t="s">
        <v>16</v>
      </c>
      <c r="I441">
        <v>66</v>
      </c>
      <c r="J441">
        <v>5.0999999999999996</v>
      </c>
      <c r="K441">
        <v>46.92818584354</v>
      </c>
      <c r="L441" t="s">
        <v>16</v>
      </c>
      <c r="M441" t="str">
        <f>IF(Table2[[#This Row],[Final_Exam_Score]]&gt;= 50,"Pass","Fail")</f>
        <v>Fail</v>
      </c>
    </row>
    <row r="442" spans="1:13" x14ac:dyDescent="0.25">
      <c r="A442" t="s">
        <v>464</v>
      </c>
      <c r="B442" t="s">
        <v>13</v>
      </c>
      <c r="C442" s="2">
        <v>20</v>
      </c>
      <c r="D442">
        <v>12</v>
      </c>
      <c r="E442">
        <v>82.93</v>
      </c>
      <c r="F442" t="s">
        <v>32</v>
      </c>
      <c r="G442" t="s">
        <v>26</v>
      </c>
      <c r="H442" t="s">
        <v>24</v>
      </c>
      <c r="I442">
        <v>91</v>
      </c>
      <c r="J442">
        <v>4.0999999999999996</v>
      </c>
      <c r="K442">
        <v>57.673587830059098</v>
      </c>
      <c r="L442" t="s">
        <v>16</v>
      </c>
      <c r="M442" t="str">
        <f>IF(Table2[[#This Row],[Final_Exam_Score]]&gt;= 50,"Pass","Fail")</f>
        <v>Pass</v>
      </c>
    </row>
    <row r="443" spans="1:13" x14ac:dyDescent="0.25">
      <c r="A443" t="s">
        <v>465</v>
      </c>
      <c r="B443" t="s">
        <v>18</v>
      </c>
      <c r="C443" s="2">
        <v>16</v>
      </c>
      <c r="D443">
        <v>12</v>
      </c>
      <c r="E443">
        <v>78.25</v>
      </c>
      <c r="F443" t="s">
        <v>28</v>
      </c>
      <c r="G443" t="s">
        <v>26</v>
      </c>
      <c r="H443" t="s">
        <v>24</v>
      </c>
      <c r="I443">
        <v>92</v>
      </c>
      <c r="J443">
        <v>7.7</v>
      </c>
      <c r="K443">
        <v>60.160242686674302</v>
      </c>
      <c r="L443" t="s">
        <v>16</v>
      </c>
      <c r="M443" t="str">
        <f>IF(Table2[[#This Row],[Final_Exam_Score]]&gt;= 50,"Pass","Fail")</f>
        <v>Pass</v>
      </c>
    </row>
    <row r="444" spans="1:13" x14ac:dyDescent="0.25">
      <c r="A444" t="s">
        <v>466</v>
      </c>
      <c r="B444" t="s">
        <v>13</v>
      </c>
      <c r="C444" s="2">
        <v>17</v>
      </c>
      <c r="D444">
        <v>5</v>
      </c>
      <c r="E444">
        <v>67.92</v>
      </c>
      <c r="F444" t="s">
        <v>19</v>
      </c>
      <c r="G444" t="s">
        <v>15</v>
      </c>
      <c r="H444" t="s">
        <v>16</v>
      </c>
      <c r="I444">
        <v>70</v>
      </c>
      <c r="J444">
        <v>7.4</v>
      </c>
      <c r="K444">
        <v>42.063085618116098</v>
      </c>
      <c r="L444" t="s">
        <v>24</v>
      </c>
      <c r="M444" t="str">
        <f>IF(Table2[[#This Row],[Final_Exam_Score]]&gt;= 50,"Pass","Fail")</f>
        <v>Fail</v>
      </c>
    </row>
    <row r="445" spans="1:13" x14ac:dyDescent="0.25">
      <c r="A445" t="s">
        <v>467</v>
      </c>
      <c r="B445" t="s">
        <v>13</v>
      </c>
      <c r="C445" s="2">
        <v>18</v>
      </c>
      <c r="D445">
        <v>19</v>
      </c>
      <c r="E445">
        <v>93.99</v>
      </c>
      <c r="F445" t="s">
        <v>22</v>
      </c>
      <c r="G445" t="s">
        <v>26</v>
      </c>
      <c r="H445" t="s">
        <v>16</v>
      </c>
      <c r="I445">
        <v>90</v>
      </c>
      <c r="J445">
        <v>5.0999999999999996</v>
      </c>
      <c r="K445">
        <v>56.259074827777603</v>
      </c>
      <c r="L445" t="s">
        <v>24</v>
      </c>
      <c r="M445" t="str">
        <f>IF(Table2[[#This Row],[Final_Exam_Score]]&gt;= 50,"Pass","Fail")</f>
        <v>Pass</v>
      </c>
    </row>
    <row r="446" spans="1:13" x14ac:dyDescent="0.25">
      <c r="A446" t="s">
        <v>468</v>
      </c>
      <c r="B446" t="s">
        <v>13</v>
      </c>
      <c r="C446" s="2">
        <v>16</v>
      </c>
      <c r="D446">
        <v>23</v>
      </c>
      <c r="E446">
        <v>65.13</v>
      </c>
      <c r="F446" t="s">
        <v>22</v>
      </c>
      <c r="G446" t="s">
        <v>23</v>
      </c>
      <c r="H446" t="s">
        <v>24</v>
      </c>
      <c r="I446">
        <v>52</v>
      </c>
      <c r="J446">
        <v>7.1</v>
      </c>
      <c r="K446">
        <v>40</v>
      </c>
      <c r="L446" t="s">
        <v>24</v>
      </c>
      <c r="M446" t="str">
        <f>IF(Table2[[#This Row],[Final_Exam_Score]]&gt;= 50,"Pass","Fail")</f>
        <v>Fail</v>
      </c>
    </row>
    <row r="447" spans="1:13" x14ac:dyDescent="0.25">
      <c r="A447" t="s">
        <v>469</v>
      </c>
      <c r="B447" t="s">
        <v>13</v>
      </c>
      <c r="C447" s="2">
        <v>16</v>
      </c>
      <c r="D447">
        <v>3</v>
      </c>
      <c r="E447">
        <v>77.02</v>
      </c>
      <c r="F447" t="s">
        <v>32</v>
      </c>
      <c r="G447" t="s">
        <v>26</v>
      </c>
      <c r="H447" t="s">
        <v>24</v>
      </c>
      <c r="I447">
        <v>71</v>
      </c>
      <c r="J447">
        <v>7.1</v>
      </c>
      <c r="K447">
        <v>44.045858917145601</v>
      </c>
      <c r="L447" t="s">
        <v>24</v>
      </c>
      <c r="M447" t="str">
        <f>IF(Table2[[#This Row],[Final_Exam_Score]]&gt;= 50,"Pass","Fail")</f>
        <v>Fail</v>
      </c>
    </row>
    <row r="448" spans="1:13" x14ac:dyDescent="0.25">
      <c r="A448" t="s">
        <v>470</v>
      </c>
      <c r="B448" t="s">
        <v>18</v>
      </c>
      <c r="C448" s="2">
        <v>18</v>
      </c>
      <c r="D448">
        <v>6</v>
      </c>
      <c r="E448">
        <v>76.47</v>
      </c>
      <c r="F448" t="s">
        <v>19</v>
      </c>
      <c r="G448" t="s">
        <v>23</v>
      </c>
      <c r="H448" t="s">
        <v>16</v>
      </c>
      <c r="I448">
        <v>77</v>
      </c>
      <c r="J448">
        <v>8.6999999999999993</v>
      </c>
      <c r="K448">
        <v>49.400949857148802</v>
      </c>
      <c r="L448" t="s">
        <v>24</v>
      </c>
      <c r="M448" t="str">
        <f>IF(Table2[[#This Row],[Final_Exam_Score]]&gt;= 50,"Pass","Fail")</f>
        <v>Fail</v>
      </c>
    </row>
    <row r="449" spans="1:13" x14ac:dyDescent="0.25">
      <c r="A449" t="s">
        <v>471</v>
      </c>
      <c r="B449" t="s">
        <v>13</v>
      </c>
      <c r="C449" s="2">
        <v>20</v>
      </c>
      <c r="D449">
        <v>29</v>
      </c>
      <c r="E449">
        <v>96.92</v>
      </c>
      <c r="F449" t="s">
        <v>28</v>
      </c>
      <c r="G449" t="s">
        <v>23</v>
      </c>
      <c r="H449" t="s">
        <v>24</v>
      </c>
      <c r="I449">
        <v>50</v>
      </c>
      <c r="J449">
        <v>4.5</v>
      </c>
      <c r="K449">
        <v>55.038850826098297</v>
      </c>
      <c r="L449" t="s">
        <v>24</v>
      </c>
      <c r="M449" t="str">
        <f>IF(Table2[[#This Row],[Final_Exam_Score]]&gt;= 50,"Pass","Fail")</f>
        <v>Pass</v>
      </c>
    </row>
    <row r="450" spans="1:13" x14ac:dyDescent="0.25">
      <c r="A450" t="s">
        <v>472</v>
      </c>
      <c r="B450" t="s">
        <v>18</v>
      </c>
      <c r="C450" s="2">
        <v>20</v>
      </c>
      <c r="D450">
        <v>24</v>
      </c>
      <c r="E450">
        <v>80.73</v>
      </c>
      <c r="F450" t="s">
        <v>14</v>
      </c>
      <c r="G450" t="s">
        <v>15</v>
      </c>
      <c r="H450" t="s">
        <v>16</v>
      </c>
      <c r="I450">
        <v>83</v>
      </c>
      <c r="J450">
        <v>4.9000000000000004</v>
      </c>
      <c r="K450">
        <v>66.778436433912105</v>
      </c>
      <c r="L450" t="s">
        <v>24</v>
      </c>
      <c r="M450" t="str">
        <f>IF(Table2[[#This Row],[Final_Exam_Score]]&gt;= 50,"Pass","Fail")</f>
        <v>Pass</v>
      </c>
    </row>
    <row r="451" spans="1:13" x14ac:dyDescent="0.25">
      <c r="A451" t="s">
        <v>473</v>
      </c>
      <c r="B451" t="s">
        <v>13</v>
      </c>
      <c r="C451" s="2">
        <v>15</v>
      </c>
      <c r="D451">
        <v>4</v>
      </c>
      <c r="E451">
        <v>96.1</v>
      </c>
      <c r="F451" t="s">
        <v>22</v>
      </c>
      <c r="G451" t="s">
        <v>15</v>
      </c>
      <c r="H451" t="s">
        <v>16</v>
      </c>
      <c r="I451">
        <v>63</v>
      </c>
      <c r="J451">
        <v>5.5</v>
      </c>
      <c r="K451">
        <v>45.580272547262098</v>
      </c>
      <c r="L451" t="s">
        <v>16</v>
      </c>
      <c r="M451" t="str">
        <f>IF(Table2[[#This Row],[Final_Exam_Score]]&gt;= 50,"Pass","Fail")</f>
        <v>Fail</v>
      </c>
    </row>
    <row r="452" spans="1:13" x14ac:dyDescent="0.25">
      <c r="A452" t="s">
        <v>474</v>
      </c>
      <c r="B452" t="s">
        <v>18</v>
      </c>
      <c r="C452" s="2">
        <v>20</v>
      </c>
      <c r="D452">
        <v>4</v>
      </c>
      <c r="E452">
        <v>68.13</v>
      </c>
      <c r="F452" t="s">
        <v>28</v>
      </c>
      <c r="G452" t="s">
        <v>26</v>
      </c>
      <c r="H452" t="s">
        <v>16</v>
      </c>
      <c r="I452">
        <v>97</v>
      </c>
      <c r="J452">
        <v>7.8</v>
      </c>
      <c r="K452">
        <v>48.236774223649299</v>
      </c>
      <c r="L452" t="s">
        <v>16</v>
      </c>
      <c r="M452" t="str">
        <f>IF(Table2[[#This Row],[Final_Exam_Score]]&gt;= 50,"Pass","Fail")</f>
        <v>Fail</v>
      </c>
    </row>
    <row r="453" spans="1:13" x14ac:dyDescent="0.25">
      <c r="A453" t="s">
        <v>475</v>
      </c>
      <c r="B453" t="s">
        <v>13</v>
      </c>
      <c r="C453" s="2">
        <v>21</v>
      </c>
      <c r="D453">
        <v>22</v>
      </c>
      <c r="E453">
        <v>94.61</v>
      </c>
      <c r="F453" t="s">
        <v>32</v>
      </c>
      <c r="G453" t="s">
        <v>26</v>
      </c>
      <c r="H453" t="s">
        <v>24</v>
      </c>
      <c r="I453">
        <v>58</v>
      </c>
      <c r="J453">
        <v>6.4</v>
      </c>
      <c r="K453">
        <v>54.864118130123103</v>
      </c>
      <c r="L453" t="s">
        <v>24</v>
      </c>
      <c r="M453" t="str">
        <f>IF(Table2[[#This Row],[Final_Exam_Score]]&gt;= 50,"Pass","Fail")</f>
        <v>Pass</v>
      </c>
    </row>
    <row r="454" spans="1:13" x14ac:dyDescent="0.25">
      <c r="A454" t="s">
        <v>476</v>
      </c>
      <c r="B454" t="s">
        <v>13</v>
      </c>
      <c r="C454" s="2">
        <v>15</v>
      </c>
      <c r="D454">
        <v>29</v>
      </c>
      <c r="E454">
        <v>86.43</v>
      </c>
      <c r="F454" t="s">
        <v>14</v>
      </c>
      <c r="G454" t="s">
        <v>15</v>
      </c>
      <c r="H454" t="s">
        <v>16</v>
      </c>
      <c r="I454">
        <v>57</v>
      </c>
      <c r="J454">
        <v>5.8</v>
      </c>
      <c r="K454">
        <v>61.570848511571398</v>
      </c>
      <c r="L454" t="s">
        <v>16</v>
      </c>
      <c r="M454" t="str">
        <f>IF(Table2[[#This Row],[Final_Exam_Score]]&gt;= 50,"Pass","Fail")</f>
        <v>Pass</v>
      </c>
    </row>
    <row r="455" spans="1:13" x14ac:dyDescent="0.25">
      <c r="A455" t="s">
        <v>477</v>
      </c>
      <c r="B455" t="s">
        <v>13</v>
      </c>
      <c r="C455" s="2">
        <v>17</v>
      </c>
      <c r="D455">
        <v>22</v>
      </c>
      <c r="E455">
        <v>83.83</v>
      </c>
      <c r="F455" t="s">
        <v>32</v>
      </c>
      <c r="G455" t="s">
        <v>26</v>
      </c>
      <c r="H455" t="s">
        <v>24</v>
      </c>
      <c r="I455">
        <v>49</v>
      </c>
      <c r="J455">
        <v>5.9</v>
      </c>
      <c r="K455">
        <v>40</v>
      </c>
      <c r="L455" t="s">
        <v>16</v>
      </c>
      <c r="M455" t="str">
        <f>IF(Table2[[#This Row],[Final_Exam_Score]]&gt;= 50,"Pass","Fail")</f>
        <v>Fail</v>
      </c>
    </row>
    <row r="456" spans="1:13" x14ac:dyDescent="0.25">
      <c r="A456" t="s">
        <v>478</v>
      </c>
      <c r="B456" t="s">
        <v>13</v>
      </c>
      <c r="C456" s="2">
        <v>20</v>
      </c>
      <c r="D456">
        <v>11</v>
      </c>
      <c r="E456">
        <v>75.709999999999994</v>
      </c>
      <c r="F456" t="s">
        <v>14</v>
      </c>
      <c r="G456" t="s">
        <v>23</v>
      </c>
      <c r="H456" t="s">
        <v>24</v>
      </c>
      <c r="I456">
        <v>86</v>
      </c>
      <c r="J456">
        <v>6.5</v>
      </c>
      <c r="K456">
        <v>50.354725629190398</v>
      </c>
      <c r="L456" t="s">
        <v>24</v>
      </c>
      <c r="M456" t="str">
        <f>IF(Table2[[#This Row],[Final_Exam_Score]]&gt;= 50,"Pass","Fail")</f>
        <v>Pass</v>
      </c>
    </row>
    <row r="457" spans="1:13" x14ac:dyDescent="0.25">
      <c r="A457" t="s">
        <v>479</v>
      </c>
      <c r="B457" t="s">
        <v>18</v>
      </c>
      <c r="C457" s="2">
        <v>19</v>
      </c>
      <c r="D457">
        <v>28</v>
      </c>
      <c r="E457">
        <v>82.16</v>
      </c>
      <c r="F457" t="s">
        <v>14</v>
      </c>
      <c r="G457" t="s">
        <v>23</v>
      </c>
      <c r="H457" t="s">
        <v>16</v>
      </c>
      <c r="I457">
        <v>50</v>
      </c>
      <c r="J457">
        <v>5.6</v>
      </c>
      <c r="K457">
        <v>44.230295965874397</v>
      </c>
      <c r="L457" t="s">
        <v>24</v>
      </c>
      <c r="M457" t="str">
        <f>IF(Table2[[#This Row],[Final_Exam_Score]]&gt;= 50,"Pass","Fail")</f>
        <v>Fail</v>
      </c>
    </row>
    <row r="458" spans="1:13" x14ac:dyDescent="0.25">
      <c r="A458" t="s">
        <v>480</v>
      </c>
      <c r="B458" t="s">
        <v>18</v>
      </c>
      <c r="C458" s="2">
        <v>15</v>
      </c>
      <c r="D458">
        <v>13</v>
      </c>
      <c r="E458">
        <v>74.569999999999993</v>
      </c>
      <c r="F458" t="s">
        <v>22</v>
      </c>
      <c r="G458" t="s">
        <v>26</v>
      </c>
      <c r="H458" t="s">
        <v>24</v>
      </c>
      <c r="I458">
        <v>72</v>
      </c>
      <c r="J458">
        <v>7.4</v>
      </c>
      <c r="K458">
        <v>47.724928875710901</v>
      </c>
      <c r="L458" t="s">
        <v>16</v>
      </c>
      <c r="M458" t="str">
        <f>IF(Table2[[#This Row],[Final_Exam_Score]]&gt;= 50,"Pass","Fail")</f>
        <v>Fail</v>
      </c>
    </row>
    <row r="459" spans="1:13" x14ac:dyDescent="0.25">
      <c r="A459" t="s">
        <v>481</v>
      </c>
      <c r="B459" t="s">
        <v>13</v>
      </c>
      <c r="C459" s="2">
        <v>19</v>
      </c>
      <c r="D459">
        <v>28</v>
      </c>
      <c r="E459">
        <v>80.95</v>
      </c>
      <c r="F459" t="s">
        <v>32</v>
      </c>
      <c r="G459" t="s">
        <v>26</v>
      </c>
      <c r="H459" t="s">
        <v>24</v>
      </c>
      <c r="I459">
        <v>67</v>
      </c>
      <c r="J459">
        <v>4.0999999999999996</v>
      </c>
      <c r="K459">
        <v>48.007924043075398</v>
      </c>
      <c r="L459" t="s">
        <v>16</v>
      </c>
      <c r="M459" t="str">
        <f>IF(Table2[[#This Row],[Final_Exam_Score]]&gt;= 50,"Pass","Fail")</f>
        <v>Fail</v>
      </c>
    </row>
    <row r="460" spans="1:13" x14ac:dyDescent="0.25">
      <c r="A460" t="s">
        <v>482</v>
      </c>
      <c r="B460" t="s">
        <v>18</v>
      </c>
      <c r="C460" s="2">
        <v>16</v>
      </c>
      <c r="D460">
        <v>6</v>
      </c>
      <c r="E460">
        <v>91.91</v>
      </c>
      <c r="F460" t="s">
        <v>28</v>
      </c>
      <c r="G460" t="s">
        <v>26</v>
      </c>
      <c r="H460" t="s">
        <v>16</v>
      </c>
      <c r="I460">
        <v>67</v>
      </c>
      <c r="J460">
        <v>7</v>
      </c>
      <c r="K460">
        <v>40.048486608863698</v>
      </c>
      <c r="L460" t="s">
        <v>24</v>
      </c>
      <c r="M460" t="str">
        <f>IF(Table2[[#This Row],[Final_Exam_Score]]&gt;= 50,"Pass","Fail")</f>
        <v>Fail</v>
      </c>
    </row>
    <row r="461" spans="1:13" x14ac:dyDescent="0.25">
      <c r="A461" t="s">
        <v>483</v>
      </c>
      <c r="B461" t="s">
        <v>13</v>
      </c>
      <c r="C461" s="2">
        <v>18</v>
      </c>
      <c r="D461">
        <v>13</v>
      </c>
      <c r="E461">
        <v>86.89</v>
      </c>
      <c r="F461" t="s">
        <v>28</v>
      </c>
      <c r="G461" t="s">
        <v>23</v>
      </c>
      <c r="H461" t="s">
        <v>24</v>
      </c>
      <c r="I461">
        <v>95</v>
      </c>
      <c r="J461">
        <v>5.8</v>
      </c>
      <c r="K461">
        <v>62.339685404111002</v>
      </c>
      <c r="L461" t="s">
        <v>24</v>
      </c>
      <c r="M461" t="str">
        <f>IF(Table2[[#This Row],[Final_Exam_Score]]&gt;= 50,"Pass","Fail")</f>
        <v>Pass</v>
      </c>
    </row>
    <row r="462" spans="1:13" x14ac:dyDescent="0.25">
      <c r="A462" t="s">
        <v>484</v>
      </c>
      <c r="B462" t="s">
        <v>18</v>
      </c>
      <c r="C462" s="2">
        <v>17</v>
      </c>
      <c r="D462">
        <v>24</v>
      </c>
      <c r="E462">
        <v>88.82</v>
      </c>
      <c r="F462" t="s">
        <v>22</v>
      </c>
      <c r="G462" t="s">
        <v>23</v>
      </c>
      <c r="H462" t="s">
        <v>24</v>
      </c>
      <c r="I462">
        <v>77</v>
      </c>
      <c r="J462">
        <v>6.4</v>
      </c>
      <c r="K462">
        <v>55.088117775887099</v>
      </c>
      <c r="L462" t="s">
        <v>16</v>
      </c>
      <c r="M462" t="str">
        <f>IF(Table2[[#This Row],[Final_Exam_Score]]&gt;= 50,"Pass","Fail")</f>
        <v>Pass</v>
      </c>
    </row>
    <row r="463" spans="1:13" x14ac:dyDescent="0.25">
      <c r="A463" t="s">
        <v>485</v>
      </c>
      <c r="B463" t="s">
        <v>13</v>
      </c>
      <c r="C463" s="2">
        <v>15</v>
      </c>
      <c r="D463">
        <v>23</v>
      </c>
      <c r="E463">
        <v>96.23</v>
      </c>
      <c r="F463" t="s">
        <v>19</v>
      </c>
      <c r="G463" t="s">
        <v>26</v>
      </c>
      <c r="H463" t="s">
        <v>16</v>
      </c>
      <c r="I463">
        <v>83</v>
      </c>
      <c r="J463">
        <v>7.8</v>
      </c>
      <c r="K463">
        <v>64.991418593703699</v>
      </c>
      <c r="L463" t="s">
        <v>24</v>
      </c>
      <c r="M463" t="str">
        <f>IF(Table2[[#This Row],[Final_Exam_Score]]&gt;= 50,"Pass","Fail")</f>
        <v>Pass</v>
      </c>
    </row>
    <row r="464" spans="1:13" x14ac:dyDescent="0.25">
      <c r="A464" t="s">
        <v>486</v>
      </c>
      <c r="B464" t="s">
        <v>18</v>
      </c>
      <c r="C464" s="2">
        <v>21</v>
      </c>
      <c r="D464">
        <v>24</v>
      </c>
      <c r="E464">
        <v>66.849999999999994</v>
      </c>
      <c r="F464" t="s">
        <v>14</v>
      </c>
      <c r="G464" t="s">
        <v>15</v>
      </c>
      <c r="H464" t="s">
        <v>16</v>
      </c>
      <c r="I464">
        <v>58</v>
      </c>
      <c r="J464">
        <v>4.2</v>
      </c>
      <c r="K464">
        <v>46.491649084702203</v>
      </c>
      <c r="L464" t="s">
        <v>16</v>
      </c>
      <c r="M464" t="str">
        <f>IF(Table2[[#This Row],[Final_Exam_Score]]&gt;= 50,"Pass","Fail")</f>
        <v>Fail</v>
      </c>
    </row>
    <row r="465" spans="1:13" x14ac:dyDescent="0.25">
      <c r="A465" t="s">
        <v>487</v>
      </c>
      <c r="B465" t="s">
        <v>18</v>
      </c>
      <c r="C465" s="2">
        <v>17</v>
      </c>
      <c r="D465">
        <v>24</v>
      </c>
      <c r="E465">
        <v>71.959999999999994</v>
      </c>
      <c r="F465" t="s">
        <v>14</v>
      </c>
      <c r="G465" t="s">
        <v>26</v>
      </c>
      <c r="H465" t="s">
        <v>16</v>
      </c>
      <c r="I465">
        <v>77</v>
      </c>
      <c r="J465">
        <v>5.0999999999999996</v>
      </c>
      <c r="K465">
        <v>57.492583429917403</v>
      </c>
      <c r="L465" t="s">
        <v>16</v>
      </c>
      <c r="M465" t="str">
        <f>IF(Table2[[#This Row],[Final_Exam_Score]]&gt;= 50,"Pass","Fail")</f>
        <v>Pass</v>
      </c>
    </row>
    <row r="466" spans="1:13" x14ac:dyDescent="0.25">
      <c r="A466" t="s">
        <v>488</v>
      </c>
      <c r="B466" t="s">
        <v>18</v>
      </c>
      <c r="C466" s="2">
        <v>19</v>
      </c>
      <c r="D466">
        <v>16</v>
      </c>
      <c r="E466">
        <v>90.35</v>
      </c>
      <c r="F466" t="s">
        <v>28</v>
      </c>
      <c r="G466" t="s">
        <v>23</v>
      </c>
      <c r="H466" t="s">
        <v>16</v>
      </c>
      <c r="I466">
        <v>92</v>
      </c>
      <c r="J466">
        <v>6.6</v>
      </c>
      <c r="K466">
        <v>59.984998731463499</v>
      </c>
      <c r="L466" t="s">
        <v>24</v>
      </c>
      <c r="M466" t="str">
        <f>IF(Table2[[#This Row],[Final_Exam_Score]]&gt;= 50,"Pass","Fail")</f>
        <v>Pass</v>
      </c>
    </row>
    <row r="467" spans="1:13" x14ac:dyDescent="0.25">
      <c r="A467" t="s">
        <v>489</v>
      </c>
      <c r="B467" t="s">
        <v>13</v>
      </c>
      <c r="C467" s="2">
        <v>20</v>
      </c>
      <c r="D467">
        <v>27</v>
      </c>
      <c r="E467">
        <v>79.290000000000006</v>
      </c>
      <c r="F467" t="s">
        <v>28</v>
      </c>
      <c r="G467" t="s">
        <v>15</v>
      </c>
      <c r="H467" t="s">
        <v>16</v>
      </c>
      <c r="I467">
        <v>84</v>
      </c>
      <c r="J467">
        <v>7.1</v>
      </c>
      <c r="K467">
        <v>61.065143829740897</v>
      </c>
      <c r="L467" t="s">
        <v>24</v>
      </c>
      <c r="M467" t="str">
        <f>IF(Table2[[#This Row],[Final_Exam_Score]]&gt;= 50,"Pass","Fail")</f>
        <v>Pass</v>
      </c>
    </row>
    <row r="468" spans="1:13" x14ac:dyDescent="0.25">
      <c r="A468" t="s">
        <v>490</v>
      </c>
      <c r="B468" t="s">
        <v>18</v>
      </c>
      <c r="C468" s="2">
        <v>20</v>
      </c>
      <c r="D468">
        <v>23</v>
      </c>
      <c r="E468">
        <v>87.76</v>
      </c>
      <c r="F468" t="s">
        <v>19</v>
      </c>
      <c r="G468" t="s">
        <v>23</v>
      </c>
      <c r="H468" t="s">
        <v>16</v>
      </c>
      <c r="I468">
        <v>97</v>
      </c>
      <c r="J468">
        <v>4.9000000000000004</v>
      </c>
      <c r="K468">
        <v>59.615229399779103</v>
      </c>
      <c r="L468" t="s">
        <v>24</v>
      </c>
      <c r="M468" t="str">
        <f>IF(Table2[[#This Row],[Final_Exam_Score]]&gt;= 50,"Pass","Fail")</f>
        <v>Pass</v>
      </c>
    </row>
    <row r="469" spans="1:13" x14ac:dyDescent="0.25">
      <c r="A469" t="s">
        <v>491</v>
      </c>
      <c r="B469" t="s">
        <v>13</v>
      </c>
      <c r="C469" s="2">
        <v>18</v>
      </c>
      <c r="D469">
        <v>29</v>
      </c>
      <c r="E469">
        <v>96.42</v>
      </c>
      <c r="F469" t="s">
        <v>32</v>
      </c>
      <c r="G469" t="s">
        <v>26</v>
      </c>
      <c r="H469" t="s">
        <v>24</v>
      </c>
      <c r="I469">
        <v>88</v>
      </c>
      <c r="J469">
        <v>5</v>
      </c>
      <c r="K469">
        <v>65.696751805134596</v>
      </c>
      <c r="L469" t="s">
        <v>16</v>
      </c>
      <c r="M469" t="str">
        <f>IF(Table2[[#This Row],[Final_Exam_Score]]&gt;= 50,"Pass","Fail")</f>
        <v>Pass</v>
      </c>
    </row>
    <row r="470" spans="1:13" x14ac:dyDescent="0.25">
      <c r="A470" t="s">
        <v>492</v>
      </c>
      <c r="B470" t="s">
        <v>13</v>
      </c>
      <c r="C470" s="2">
        <v>21</v>
      </c>
      <c r="D470">
        <v>14</v>
      </c>
      <c r="E470">
        <v>90.76</v>
      </c>
      <c r="F470" t="s">
        <v>19</v>
      </c>
      <c r="G470" t="s">
        <v>15</v>
      </c>
      <c r="H470" t="s">
        <v>16</v>
      </c>
      <c r="I470">
        <v>89</v>
      </c>
      <c r="J470">
        <v>7.1</v>
      </c>
      <c r="K470">
        <v>63.0090491137545</v>
      </c>
      <c r="L470" t="s">
        <v>16</v>
      </c>
      <c r="M470" t="str">
        <f>IF(Table2[[#This Row],[Final_Exam_Score]]&gt;= 50,"Pass","Fail")</f>
        <v>Pass</v>
      </c>
    </row>
    <row r="471" spans="1:13" x14ac:dyDescent="0.25">
      <c r="A471" t="s">
        <v>493</v>
      </c>
      <c r="B471" t="s">
        <v>13</v>
      </c>
      <c r="C471" s="2">
        <v>19</v>
      </c>
      <c r="D471">
        <v>4</v>
      </c>
      <c r="E471">
        <v>97.66</v>
      </c>
      <c r="F471" t="s">
        <v>32</v>
      </c>
      <c r="G471" t="s">
        <v>26</v>
      </c>
      <c r="H471" t="s">
        <v>24</v>
      </c>
      <c r="I471">
        <v>81</v>
      </c>
      <c r="J471">
        <v>7.6</v>
      </c>
      <c r="K471">
        <v>59.772093200415398</v>
      </c>
      <c r="L471" t="s">
        <v>24</v>
      </c>
      <c r="M471" t="str">
        <f>IF(Table2[[#This Row],[Final_Exam_Score]]&gt;= 50,"Pass","Fail")</f>
        <v>Pass</v>
      </c>
    </row>
    <row r="472" spans="1:13" x14ac:dyDescent="0.25">
      <c r="A472" t="s">
        <v>494</v>
      </c>
      <c r="B472" t="s">
        <v>13</v>
      </c>
      <c r="C472" s="2">
        <v>17</v>
      </c>
      <c r="D472">
        <v>6</v>
      </c>
      <c r="E472">
        <v>70.319999999999993</v>
      </c>
      <c r="F472" t="s">
        <v>32</v>
      </c>
      <c r="G472" t="s">
        <v>26</v>
      </c>
      <c r="H472" t="s">
        <v>24</v>
      </c>
      <c r="I472">
        <v>83</v>
      </c>
      <c r="J472">
        <v>6.2</v>
      </c>
      <c r="K472">
        <v>47.595946996522997</v>
      </c>
      <c r="L472" t="s">
        <v>16</v>
      </c>
      <c r="M472" t="str">
        <f>IF(Table2[[#This Row],[Final_Exam_Score]]&gt;= 50,"Pass","Fail")</f>
        <v>Fail</v>
      </c>
    </row>
    <row r="473" spans="1:13" x14ac:dyDescent="0.25">
      <c r="A473" t="s">
        <v>495</v>
      </c>
      <c r="B473" t="s">
        <v>18</v>
      </c>
      <c r="C473" s="2">
        <v>21</v>
      </c>
      <c r="D473">
        <v>13</v>
      </c>
      <c r="E473">
        <v>91.48</v>
      </c>
      <c r="F473" t="s">
        <v>22</v>
      </c>
      <c r="G473" t="s">
        <v>23</v>
      </c>
      <c r="H473" t="s">
        <v>24</v>
      </c>
      <c r="I473">
        <v>60</v>
      </c>
      <c r="J473">
        <v>6.2</v>
      </c>
      <c r="K473">
        <v>49.197773756558</v>
      </c>
      <c r="L473" t="s">
        <v>16</v>
      </c>
      <c r="M473" t="str">
        <f>IF(Table2[[#This Row],[Final_Exam_Score]]&gt;= 50,"Pass","Fail")</f>
        <v>Fail</v>
      </c>
    </row>
    <row r="474" spans="1:13" x14ac:dyDescent="0.25">
      <c r="A474" t="s">
        <v>496</v>
      </c>
      <c r="B474" t="s">
        <v>18</v>
      </c>
      <c r="C474" s="2">
        <v>16</v>
      </c>
      <c r="D474">
        <v>7</v>
      </c>
      <c r="E474">
        <v>89.59</v>
      </c>
      <c r="F474" t="s">
        <v>22</v>
      </c>
      <c r="G474" t="s">
        <v>23</v>
      </c>
      <c r="H474" t="s">
        <v>16</v>
      </c>
      <c r="I474">
        <v>95</v>
      </c>
      <c r="J474">
        <v>6</v>
      </c>
      <c r="K474">
        <v>64.551662109447307</v>
      </c>
      <c r="L474" t="s">
        <v>24</v>
      </c>
      <c r="M474" t="str">
        <f>IF(Table2[[#This Row],[Final_Exam_Score]]&gt;= 50,"Pass","Fail")</f>
        <v>Pass</v>
      </c>
    </row>
    <row r="475" spans="1:13" x14ac:dyDescent="0.25">
      <c r="A475" t="s">
        <v>497</v>
      </c>
      <c r="B475" t="s">
        <v>18</v>
      </c>
      <c r="C475" s="2">
        <v>20</v>
      </c>
      <c r="D475">
        <v>5</v>
      </c>
      <c r="E475">
        <v>65.260000000000005</v>
      </c>
      <c r="F475" t="s">
        <v>32</v>
      </c>
      <c r="G475" t="s">
        <v>15</v>
      </c>
      <c r="H475" t="s">
        <v>16</v>
      </c>
      <c r="I475">
        <v>78</v>
      </c>
      <c r="J475">
        <v>5.3</v>
      </c>
      <c r="K475">
        <v>40</v>
      </c>
      <c r="L475" t="s">
        <v>24</v>
      </c>
      <c r="M475" t="str">
        <f>IF(Table2[[#This Row],[Final_Exam_Score]]&gt;= 50,"Pass","Fail")</f>
        <v>Fail</v>
      </c>
    </row>
    <row r="476" spans="1:13" x14ac:dyDescent="0.25">
      <c r="A476" t="s">
        <v>498</v>
      </c>
      <c r="B476" t="s">
        <v>13</v>
      </c>
      <c r="C476" s="2">
        <v>16</v>
      </c>
      <c r="D476">
        <v>15</v>
      </c>
      <c r="E476">
        <v>66.5</v>
      </c>
      <c r="F476" t="s">
        <v>32</v>
      </c>
      <c r="G476" t="s">
        <v>26</v>
      </c>
      <c r="H476" t="s">
        <v>24</v>
      </c>
      <c r="I476">
        <v>50</v>
      </c>
      <c r="J476">
        <v>8.9</v>
      </c>
      <c r="K476">
        <v>40</v>
      </c>
      <c r="L476" t="s">
        <v>16</v>
      </c>
      <c r="M476" t="str">
        <f>IF(Table2[[#This Row],[Final_Exam_Score]]&gt;= 50,"Pass","Fail")</f>
        <v>Fail</v>
      </c>
    </row>
    <row r="477" spans="1:13" x14ac:dyDescent="0.25">
      <c r="A477" t="s">
        <v>499</v>
      </c>
      <c r="B477" t="s">
        <v>13</v>
      </c>
      <c r="C477" s="2">
        <v>19</v>
      </c>
      <c r="D477">
        <v>16</v>
      </c>
      <c r="E477">
        <v>66.180000000000007</v>
      </c>
      <c r="F477" t="s">
        <v>32</v>
      </c>
      <c r="G477" t="s">
        <v>26</v>
      </c>
      <c r="H477" t="s">
        <v>24</v>
      </c>
      <c r="I477">
        <v>96</v>
      </c>
      <c r="J477">
        <v>7.1</v>
      </c>
      <c r="K477">
        <v>59.361461749500101</v>
      </c>
      <c r="L477" t="s">
        <v>16</v>
      </c>
      <c r="M477" t="str">
        <f>IF(Table2[[#This Row],[Final_Exam_Score]]&gt;= 50,"Pass","Fail")</f>
        <v>Pass</v>
      </c>
    </row>
    <row r="478" spans="1:13" x14ac:dyDescent="0.25">
      <c r="A478" t="s">
        <v>500</v>
      </c>
      <c r="B478" t="s">
        <v>13</v>
      </c>
      <c r="C478" s="2">
        <v>18</v>
      </c>
      <c r="D478">
        <v>6</v>
      </c>
      <c r="E478">
        <v>83.47</v>
      </c>
      <c r="F478" t="s">
        <v>19</v>
      </c>
      <c r="G478" t="s">
        <v>26</v>
      </c>
      <c r="H478" t="s">
        <v>16</v>
      </c>
      <c r="I478">
        <v>49</v>
      </c>
      <c r="J478">
        <v>5.8</v>
      </c>
      <c r="K478">
        <v>40</v>
      </c>
      <c r="L478" t="s">
        <v>16</v>
      </c>
      <c r="M478" t="str">
        <f>IF(Table2[[#This Row],[Final_Exam_Score]]&gt;= 50,"Pass","Fail")</f>
        <v>Fail</v>
      </c>
    </row>
    <row r="479" spans="1:13" x14ac:dyDescent="0.25">
      <c r="A479" t="s">
        <v>501</v>
      </c>
      <c r="B479" t="s">
        <v>18</v>
      </c>
      <c r="C479" s="2">
        <v>19</v>
      </c>
      <c r="D479">
        <v>9</v>
      </c>
      <c r="E479">
        <v>92.18</v>
      </c>
      <c r="F479" t="s">
        <v>22</v>
      </c>
      <c r="G479" t="s">
        <v>26</v>
      </c>
      <c r="H479" t="s">
        <v>24</v>
      </c>
      <c r="I479">
        <v>73</v>
      </c>
      <c r="J479">
        <v>5.3</v>
      </c>
      <c r="K479">
        <v>47.067674781116601</v>
      </c>
      <c r="L479" t="s">
        <v>16</v>
      </c>
      <c r="M479" t="str">
        <f>IF(Table2[[#This Row],[Final_Exam_Score]]&gt;= 50,"Pass","Fail")</f>
        <v>Fail</v>
      </c>
    </row>
    <row r="480" spans="1:13" x14ac:dyDescent="0.25">
      <c r="A480" t="s">
        <v>502</v>
      </c>
      <c r="B480" t="s">
        <v>18</v>
      </c>
      <c r="C480" s="2">
        <v>15</v>
      </c>
      <c r="D480">
        <v>3</v>
      </c>
      <c r="E480">
        <v>79.19</v>
      </c>
      <c r="F480" t="s">
        <v>19</v>
      </c>
      <c r="G480" t="s">
        <v>15</v>
      </c>
      <c r="H480" t="s">
        <v>24</v>
      </c>
      <c r="I480">
        <v>69</v>
      </c>
      <c r="J480">
        <v>5.3</v>
      </c>
      <c r="K480">
        <v>46.551698538011003</v>
      </c>
      <c r="L480" t="s">
        <v>24</v>
      </c>
      <c r="M480" t="str">
        <f>IF(Table2[[#This Row],[Final_Exam_Score]]&gt;= 50,"Pass","Fail")</f>
        <v>Fail</v>
      </c>
    </row>
    <row r="481" spans="1:13" x14ac:dyDescent="0.25">
      <c r="A481" t="s">
        <v>503</v>
      </c>
      <c r="B481" t="s">
        <v>18</v>
      </c>
      <c r="C481" s="2">
        <v>18</v>
      </c>
      <c r="D481">
        <v>3</v>
      </c>
      <c r="E481">
        <v>65.11</v>
      </c>
      <c r="F481" t="s">
        <v>22</v>
      </c>
      <c r="G481" t="s">
        <v>23</v>
      </c>
      <c r="H481" t="s">
        <v>16</v>
      </c>
      <c r="I481">
        <v>70</v>
      </c>
      <c r="J481">
        <v>5.6</v>
      </c>
      <c r="K481">
        <v>40</v>
      </c>
      <c r="L481" t="s">
        <v>24</v>
      </c>
      <c r="M481" t="str">
        <f>IF(Table2[[#This Row],[Final_Exam_Score]]&gt;= 50,"Pass","Fail")</f>
        <v>Fail</v>
      </c>
    </row>
    <row r="482" spans="1:13" x14ac:dyDescent="0.25">
      <c r="A482" t="s">
        <v>504</v>
      </c>
      <c r="B482" t="s">
        <v>13</v>
      </c>
      <c r="C482" s="2">
        <v>18</v>
      </c>
      <c r="D482">
        <v>9</v>
      </c>
      <c r="E482">
        <v>71.12</v>
      </c>
      <c r="F482" t="s">
        <v>14</v>
      </c>
      <c r="G482" t="s">
        <v>15</v>
      </c>
      <c r="H482" t="s">
        <v>16</v>
      </c>
      <c r="I482">
        <v>88</v>
      </c>
      <c r="J482">
        <v>6.8</v>
      </c>
      <c r="K482">
        <v>52.528830378218899</v>
      </c>
      <c r="L482" t="s">
        <v>16</v>
      </c>
      <c r="M482" t="str">
        <f>IF(Table2[[#This Row],[Final_Exam_Score]]&gt;= 50,"Pass","Fail")</f>
        <v>Pass</v>
      </c>
    </row>
    <row r="483" spans="1:13" x14ac:dyDescent="0.25">
      <c r="A483" t="s">
        <v>505</v>
      </c>
      <c r="B483" t="s">
        <v>13</v>
      </c>
      <c r="C483" s="2">
        <v>19</v>
      </c>
      <c r="D483">
        <v>26</v>
      </c>
      <c r="E483">
        <v>98.2</v>
      </c>
      <c r="F483" t="s">
        <v>14</v>
      </c>
      <c r="G483" t="s">
        <v>15</v>
      </c>
      <c r="H483" t="s">
        <v>24</v>
      </c>
      <c r="I483">
        <v>81</v>
      </c>
      <c r="J483">
        <v>6.9</v>
      </c>
      <c r="K483">
        <v>52.134459935515501</v>
      </c>
      <c r="L483" t="s">
        <v>24</v>
      </c>
      <c r="M483" t="str">
        <f>IF(Table2[[#This Row],[Final_Exam_Score]]&gt;= 50,"Pass","Fail")</f>
        <v>Pass</v>
      </c>
    </row>
    <row r="484" spans="1:13" x14ac:dyDescent="0.25">
      <c r="A484" t="s">
        <v>506</v>
      </c>
      <c r="B484" t="s">
        <v>13</v>
      </c>
      <c r="C484" s="2">
        <v>18</v>
      </c>
      <c r="D484">
        <v>26</v>
      </c>
      <c r="E484">
        <v>73.56</v>
      </c>
      <c r="F484" t="s">
        <v>28</v>
      </c>
      <c r="G484" t="s">
        <v>26</v>
      </c>
      <c r="H484" t="s">
        <v>24</v>
      </c>
      <c r="I484">
        <v>53</v>
      </c>
      <c r="J484">
        <v>7.3</v>
      </c>
      <c r="K484">
        <v>41.416778057251101</v>
      </c>
      <c r="L484" t="s">
        <v>24</v>
      </c>
      <c r="M484" t="str">
        <f>IF(Table2[[#This Row],[Final_Exam_Score]]&gt;= 50,"Pass","Fail")</f>
        <v>Fail</v>
      </c>
    </row>
    <row r="485" spans="1:13" x14ac:dyDescent="0.25">
      <c r="A485" t="s">
        <v>507</v>
      </c>
      <c r="B485" t="s">
        <v>13</v>
      </c>
      <c r="C485" s="2">
        <v>16</v>
      </c>
      <c r="D485">
        <v>28</v>
      </c>
      <c r="E485">
        <v>94.87</v>
      </c>
      <c r="F485" t="s">
        <v>22</v>
      </c>
      <c r="G485" t="s">
        <v>23</v>
      </c>
      <c r="H485" t="s">
        <v>16</v>
      </c>
      <c r="I485">
        <v>52</v>
      </c>
      <c r="J485">
        <v>4.0999999999999996</v>
      </c>
      <c r="K485">
        <v>49.631442306945402</v>
      </c>
      <c r="L485" t="s">
        <v>24</v>
      </c>
      <c r="M485" t="str">
        <f>IF(Table2[[#This Row],[Final_Exam_Score]]&gt;= 50,"Pass","Fail")</f>
        <v>Fail</v>
      </c>
    </row>
    <row r="486" spans="1:13" x14ac:dyDescent="0.25">
      <c r="A486" t="s">
        <v>508</v>
      </c>
      <c r="B486" t="s">
        <v>18</v>
      </c>
      <c r="C486" s="2">
        <v>17</v>
      </c>
      <c r="D486">
        <v>12</v>
      </c>
      <c r="E486">
        <v>77.959999999999994</v>
      </c>
      <c r="F486" t="s">
        <v>22</v>
      </c>
      <c r="G486" t="s">
        <v>15</v>
      </c>
      <c r="H486" t="s">
        <v>24</v>
      </c>
      <c r="I486">
        <v>82</v>
      </c>
      <c r="J486">
        <v>6.9</v>
      </c>
      <c r="K486">
        <v>51.547413662957197</v>
      </c>
      <c r="L486" t="s">
        <v>16</v>
      </c>
      <c r="M486" t="str">
        <f>IF(Table2[[#This Row],[Final_Exam_Score]]&gt;= 50,"Pass","Fail")</f>
        <v>Pass</v>
      </c>
    </row>
    <row r="487" spans="1:13" x14ac:dyDescent="0.25">
      <c r="A487" t="s">
        <v>509</v>
      </c>
      <c r="B487" t="s">
        <v>13</v>
      </c>
      <c r="C487" s="2">
        <v>16</v>
      </c>
      <c r="D487">
        <v>28</v>
      </c>
      <c r="E487">
        <v>83.25</v>
      </c>
      <c r="F487" t="s">
        <v>32</v>
      </c>
      <c r="G487" t="s">
        <v>15</v>
      </c>
      <c r="H487" t="s">
        <v>16</v>
      </c>
      <c r="I487">
        <v>66</v>
      </c>
      <c r="J487">
        <v>6.9</v>
      </c>
      <c r="K487">
        <v>51.283009982231</v>
      </c>
      <c r="L487" t="s">
        <v>24</v>
      </c>
      <c r="M487" t="str">
        <f>IF(Table2[[#This Row],[Final_Exam_Score]]&gt;= 50,"Pass","Fail")</f>
        <v>Pass</v>
      </c>
    </row>
    <row r="488" spans="1:13" x14ac:dyDescent="0.25">
      <c r="A488" t="s">
        <v>510</v>
      </c>
      <c r="B488" t="s">
        <v>18</v>
      </c>
      <c r="C488" s="2">
        <v>18</v>
      </c>
      <c r="D488">
        <v>28</v>
      </c>
      <c r="E488">
        <v>82.14</v>
      </c>
      <c r="F488" t="s">
        <v>28</v>
      </c>
      <c r="G488" t="s">
        <v>26</v>
      </c>
      <c r="H488" t="s">
        <v>16</v>
      </c>
      <c r="I488">
        <v>84</v>
      </c>
      <c r="J488">
        <v>8.6</v>
      </c>
      <c r="K488">
        <v>60.072646497628199</v>
      </c>
      <c r="L488" t="s">
        <v>24</v>
      </c>
      <c r="M488" t="str">
        <f>IF(Table2[[#This Row],[Final_Exam_Score]]&gt;= 50,"Pass","Fail")</f>
        <v>Pass</v>
      </c>
    </row>
    <row r="489" spans="1:13" x14ac:dyDescent="0.25">
      <c r="A489" t="s">
        <v>511</v>
      </c>
      <c r="B489" t="s">
        <v>18</v>
      </c>
      <c r="C489" s="2">
        <v>17</v>
      </c>
      <c r="D489">
        <v>18</v>
      </c>
      <c r="E489">
        <v>69.709999999999994</v>
      </c>
      <c r="F489" t="s">
        <v>14</v>
      </c>
      <c r="G489" t="s">
        <v>26</v>
      </c>
      <c r="H489" t="s">
        <v>16</v>
      </c>
      <c r="I489">
        <v>79</v>
      </c>
      <c r="J489">
        <v>5.2</v>
      </c>
      <c r="K489">
        <v>56.471112544933</v>
      </c>
      <c r="L489" t="s">
        <v>16</v>
      </c>
      <c r="M489" t="str">
        <f>IF(Table2[[#This Row],[Final_Exam_Score]]&gt;= 50,"Pass","Fail")</f>
        <v>Pass</v>
      </c>
    </row>
    <row r="490" spans="1:13" x14ac:dyDescent="0.25">
      <c r="A490" t="s">
        <v>512</v>
      </c>
      <c r="B490" t="s">
        <v>13</v>
      </c>
      <c r="C490" s="2">
        <v>15</v>
      </c>
      <c r="D490">
        <v>27</v>
      </c>
      <c r="E490">
        <v>77.819999999999993</v>
      </c>
      <c r="F490" t="s">
        <v>14</v>
      </c>
      <c r="G490" t="s">
        <v>23</v>
      </c>
      <c r="H490" t="s">
        <v>24</v>
      </c>
      <c r="I490">
        <v>56</v>
      </c>
      <c r="J490">
        <v>4.2</v>
      </c>
      <c r="K490">
        <v>44.9019499972297</v>
      </c>
      <c r="L490" t="s">
        <v>16</v>
      </c>
      <c r="M490" t="str">
        <f>IF(Table2[[#This Row],[Final_Exam_Score]]&gt;= 50,"Pass","Fail")</f>
        <v>Fail</v>
      </c>
    </row>
    <row r="491" spans="1:13" x14ac:dyDescent="0.25">
      <c r="A491" t="s">
        <v>513</v>
      </c>
      <c r="B491" t="s">
        <v>18</v>
      </c>
      <c r="C491" s="2">
        <v>19</v>
      </c>
      <c r="D491">
        <v>20</v>
      </c>
      <c r="E491">
        <v>99.99</v>
      </c>
      <c r="F491" t="s">
        <v>19</v>
      </c>
      <c r="G491" t="s">
        <v>15</v>
      </c>
      <c r="H491" t="s">
        <v>24</v>
      </c>
      <c r="I491">
        <v>81</v>
      </c>
      <c r="J491">
        <v>8.6999999999999993</v>
      </c>
      <c r="K491">
        <v>58.341446706602198</v>
      </c>
      <c r="L491" t="s">
        <v>24</v>
      </c>
      <c r="M491" t="str">
        <f>IF(Table2[[#This Row],[Final_Exam_Score]]&gt;= 50,"Pass","Fail")</f>
        <v>Pass</v>
      </c>
    </row>
    <row r="492" spans="1:13" x14ac:dyDescent="0.25">
      <c r="A492" t="s">
        <v>514</v>
      </c>
      <c r="B492" t="s">
        <v>13</v>
      </c>
      <c r="C492" s="2">
        <v>20</v>
      </c>
      <c r="D492">
        <v>7</v>
      </c>
      <c r="E492">
        <v>84.74</v>
      </c>
      <c r="F492" t="s">
        <v>14</v>
      </c>
      <c r="G492" t="s">
        <v>15</v>
      </c>
      <c r="H492" t="s">
        <v>24</v>
      </c>
      <c r="I492">
        <v>98</v>
      </c>
      <c r="J492">
        <v>6.8</v>
      </c>
      <c r="K492">
        <v>58.678758571737497</v>
      </c>
      <c r="L492" t="s">
        <v>24</v>
      </c>
      <c r="M492" t="str">
        <f>IF(Table2[[#This Row],[Final_Exam_Score]]&gt;= 50,"Pass","Fail")</f>
        <v>Pass</v>
      </c>
    </row>
    <row r="493" spans="1:13" x14ac:dyDescent="0.25">
      <c r="A493" t="s">
        <v>515</v>
      </c>
      <c r="B493" t="s">
        <v>13</v>
      </c>
      <c r="C493" s="2">
        <v>18</v>
      </c>
      <c r="D493">
        <v>26</v>
      </c>
      <c r="E493">
        <v>81.28</v>
      </c>
      <c r="F493" t="s">
        <v>19</v>
      </c>
      <c r="G493" t="s">
        <v>26</v>
      </c>
      <c r="H493" t="s">
        <v>24</v>
      </c>
      <c r="I493">
        <v>68</v>
      </c>
      <c r="J493">
        <v>4.5</v>
      </c>
      <c r="K493">
        <v>48.923213416861998</v>
      </c>
      <c r="L493" t="s">
        <v>16</v>
      </c>
      <c r="M493" t="str">
        <f>IF(Table2[[#This Row],[Final_Exam_Score]]&gt;= 50,"Pass","Fail")</f>
        <v>Fail</v>
      </c>
    </row>
    <row r="494" spans="1:13" x14ac:dyDescent="0.25">
      <c r="A494" t="s">
        <v>516</v>
      </c>
      <c r="B494" t="s">
        <v>18</v>
      </c>
      <c r="C494" s="2">
        <v>19</v>
      </c>
      <c r="D494">
        <v>25</v>
      </c>
      <c r="E494">
        <v>84.22</v>
      </c>
      <c r="F494" t="s">
        <v>19</v>
      </c>
      <c r="G494" t="s">
        <v>26</v>
      </c>
      <c r="H494" t="s">
        <v>16</v>
      </c>
      <c r="I494">
        <v>65</v>
      </c>
      <c r="J494">
        <v>5.6</v>
      </c>
      <c r="K494">
        <v>46.4708439387665</v>
      </c>
      <c r="L494" t="s">
        <v>16</v>
      </c>
      <c r="M494" t="str">
        <f>IF(Table2[[#This Row],[Final_Exam_Score]]&gt;= 50,"Pass","Fail")</f>
        <v>Fail</v>
      </c>
    </row>
    <row r="495" spans="1:13" x14ac:dyDescent="0.25">
      <c r="A495" t="s">
        <v>517</v>
      </c>
      <c r="B495" t="s">
        <v>13</v>
      </c>
      <c r="C495" s="2">
        <v>20</v>
      </c>
      <c r="D495">
        <v>25</v>
      </c>
      <c r="E495">
        <v>74.209999999999994</v>
      </c>
      <c r="F495" t="s">
        <v>19</v>
      </c>
      <c r="G495" t="s">
        <v>15</v>
      </c>
      <c r="H495" t="s">
        <v>24</v>
      </c>
      <c r="I495">
        <v>88</v>
      </c>
      <c r="J495">
        <v>6</v>
      </c>
      <c r="K495">
        <v>61.819961926164801</v>
      </c>
      <c r="L495" t="s">
        <v>24</v>
      </c>
      <c r="M495" t="str">
        <f>IF(Table2[[#This Row],[Final_Exam_Score]]&gt;= 50,"Pass","Fail")</f>
        <v>Pass</v>
      </c>
    </row>
    <row r="496" spans="1:13" x14ac:dyDescent="0.25">
      <c r="A496" t="s">
        <v>518</v>
      </c>
      <c r="B496" t="s">
        <v>13</v>
      </c>
      <c r="C496" s="2">
        <v>17</v>
      </c>
      <c r="D496">
        <v>11</v>
      </c>
      <c r="E496">
        <v>84.82</v>
      </c>
      <c r="F496" t="s">
        <v>14</v>
      </c>
      <c r="G496" t="s">
        <v>26</v>
      </c>
      <c r="H496" t="s">
        <v>16</v>
      </c>
      <c r="I496">
        <v>51</v>
      </c>
      <c r="J496">
        <v>7.8</v>
      </c>
      <c r="K496">
        <v>40</v>
      </c>
      <c r="L496" t="s">
        <v>24</v>
      </c>
      <c r="M496" t="str">
        <f>IF(Table2[[#This Row],[Final_Exam_Score]]&gt;= 50,"Pass","Fail")</f>
        <v>Fail</v>
      </c>
    </row>
    <row r="497" spans="1:13" x14ac:dyDescent="0.25">
      <c r="A497" t="s">
        <v>519</v>
      </c>
      <c r="B497" t="s">
        <v>13</v>
      </c>
      <c r="C497" s="2">
        <v>19</v>
      </c>
      <c r="D497">
        <v>3</v>
      </c>
      <c r="E497">
        <v>90.49</v>
      </c>
      <c r="F497" t="s">
        <v>22</v>
      </c>
      <c r="G497" t="s">
        <v>26</v>
      </c>
      <c r="H497" t="s">
        <v>16</v>
      </c>
      <c r="I497">
        <v>84</v>
      </c>
      <c r="J497">
        <v>5.3</v>
      </c>
      <c r="K497">
        <v>55.6259491857166</v>
      </c>
      <c r="L497" t="s">
        <v>16</v>
      </c>
      <c r="M497" t="str">
        <f>IF(Table2[[#This Row],[Final_Exam_Score]]&gt;= 50,"Pass","Fail")</f>
        <v>Pass</v>
      </c>
    </row>
    <row r="498" spans="1:13" x14ac:dyDescent="0.25">
      <c r="A498" t="s">
        <v>520</v>
      </c>
      <c r="B498" t="s">
        <v>18</v>
      </c>
      <c r="C498" s="2">
        <v>21</v>
      </c>
      <c r="D498">
        <v>27</v>
      </c>
      <c r="E498">
        <v>68.7</v>
      </c>
      <c r="F498" t="s">
        <v>32</v>
      </c>
      <c r="G498" t="s">
        <v>26</v>
      </c>
      <c r="H498" t="s">
        <v>24</v>
      </c>
      <c r="I498">
        <v>52</v>
      </c>
      <c r="J498">
        <v>8.6999999999999993</v>
      </c>
      <c r="K498">
        <v>41.644953653495598</v>
      </c>
      <c r="L498" t="s">
        <v>16</v>
      </c>
      <c r="M498" t="str">
        <f>IF(Table2[[#This Row],[Final_Exam_Score]]&gt;= 50,"Pass","Fail")</f>
        <v>Fail</v>
      </c>
    </row>
    <row r="499" spans="1:13" x14ac:dyDescent="0.25">
      <c r="A499" t="s">
        <v>521</v>
      </c>
      <c r="B499" t="s">
        <v>13</v>
      </c>
      <c r="C499" s="2">
        <v>20</v>
      </c>
      <c r="D499">
        <v>16</v>
      </c>
      <c r="E499">
        <v>74.75</v>
      </c>
      <c r="F499" t="s">
        <v>32</v>
      </c>
      <c r="G499" t="s">
        <v>23</v>
      </c>
      <c r="H499" t="s">
        <v>16</v>
      </c>
      <c r="I499">
        <v>98</v>
      </c>
      <c r="J499">
        <v>6.9</v>
      </c>
      <c r="K499">
        <v>57.304509117733303</v>
      </c>
      <c r="L499" t="s">
        <v>16</v>
      </c>
      <c r="M499" t="str">
        <f>IF(Table2[[#This Row],[Final_Exam_Score]]&gt;= 50,"Pass","Fail")</f>
        <v>Pass</v>
      </c>
    </row>
    <row r="500" spans="1:13" x14ac:dyDescent="0.25">
      <c r="A500" t="s">
        <v>522</v>
      </c>
      <c r="B500" t="s">
        <v>13</v>
      </c>
      <c r="C500" s="2">
        <v>18</v>
      </c>
      <c r="D500">
        <v>24</v>
      </c>
      <c r="E500">
        <v>72.31</v>
      </c>
      <c r="F500" t="s">
        <v>19</v>
      </c>
      <c r="G500" t="s">
        <v>26</v>
      </c>
      <c r="H500" t="s">
        <v>16</v>
      </c>
      <c r="I500">
        <v>46</v>
      </c>
      <c r="J500">
        <v>4.5</v>
      </c>
      <c r="K500">
        <v>41.7387857274108</v>
      </c>
      <c r="L500" t="s">
        <v>16</v>
      </c>
      <c r="M500" t="str">
        <f>IF(Table2[[#This Row],[Final_Exam_Score]]&gt;= 50,"Pass","Fail")</f>
        <v>Fail</v>
      </c>
    </row>
    <row r="501" spans="1:13" x14ac:dyDescent="0.25">
      <c r="A501" t="s">
        <v>523</v>
      </c>
      <c r="B501" t="s">
        <v>13</v>
      </c>
      <c r="C501" s="2">
        <v>18</v>
      </c>
      <c r="D501">
        <v>23</v>
      </c>
      <c r="E501">
        <v>91.07</v>
      </c>
      <c r="F501" t="s">
        <v>22</v>
      </c>
      <c r="G501" t="s">
        <v>15</v>
      </c>
      <c r="H501" t="s">
        <v>24</v>
      </c>
      <c r="I501">
        <v>64</v>
      </c>
      <c r="J501">
        <v>6.5</v>
      </c>
      <c r="K501">
        <v>53.146258693841702</v>
      </c>
      <c r="L501" t="s">
        <v>16</v>
      </c>
      <c r="M501" t="str">
        <f>IF(Table2[[#This Row],[Final_Exam_Score]]&gt;= 50,"Pass","Fail")</f>
        <v>Pass</v>
      </c>
    </row>
    <row r="502" spans="1:13" x14ac:dyDescent="0.25">
      <c r="A502" t="s">
        <v>524</v>
      </c>
      <c r="B502" t="s">
        <v>13</v>
      </c>
      <c r="C502" s="2">
        <v>16</v>
      </c>
      <c r="D502">
        <v>26</v>
      </c>
      <c r="E502">
        <v>97.75</v>
      </c>
      <c r="F502" t="s">
        <v>28</v>
      </c>
      <c r="G502" t="s">
        <v>15</v>
      </c>
      <c r="H502" t="s">
        <v>16</v>
      </c>
      <c r="I502">
        <v>66</v>
      </c>
      <c r="J502">
        <v>6.9</v>
      </c>
      <c r="K502">
        <v>48.614089347837499</v>
      </c>
      <c r="L502" t="s">
        <v>16</v>
      </c>
      <c r="M502" t="str">
        <f>IF(Table2[[#This Row],[Final_Exam_Score]]&gt;= 50,"Pass","Fail")</f>
        <v>Fail</v>
      </c>
    </row>
    <row r="503" spans="1:13" x14ac:dyDescent="0.25">
      <c r="A503" t="s">
        <v>525</v>
      </c>
      <c r="B503" t="s">
        <v>13</v>
      </c>
      <c r="C503" s="2">
        <v>21</v>
      </c>
      <c r="D503">
        <v>15</v>
      </c>
      <c r="E503">
        <v>79.86</v>
      </c>
      <c r="F503" t="s">
        <v>14</v>
      </c>
      <c r="G503" t="s">
        <v>23</v>
      </c>
      <c r="H503" t="s">
        <v>24</v>
      </c>
      <c r="I503">
        <v>75</v>
      </c>
      <c r="J503">
        <v>8.8000000000000007</v>
      </c>
      <c r="K503">
        <v>50.347131217640097</v>
      </c>
      <c r="L503" t="s">
        <v>16</v>
      </c>
      <c r="M503" t="str">
        <f>IF(Table2[[#This Row],[Final_Exam_Score]]&gt;= 50,"Pass","Fail")</f>
        <v>Pass</v>
      </c>
    </row>
    <row r="504" spans="1:13" x14ac:dyDescent="0.25">
      <c r="A504" t="s">
        <v>526</v>
      </c>
      <c r="B504" t="s">
        <v>18</v>
      </c>
      <c r="C504" s="2">
        <v>19</v>
      </c>
      <c r="D504">
        <v>26</v>
      </c>
      <c r="E504">
        <v>87.16</v>
      </c>
      <c r="F504" t="s">
        <v>14</v>
      </c>
      <c r="G504" t="s">
        <v>26</v>
      </c>
      <c r="H504" t="s">
        <v>24</v>
      </c>
      <c r="I504">
        <v>68</v>
      </c>
      <c r="J504">
        <v>8.6</v>
      </c>
      <c r="K504">
        <v>50.2714801209016</v>
      </c>
      <c r="L504" t="s">
        <v>16</v>
      </c>
      <c r="M504" t="str">
        <f>IF(Table2[[#This Row],[Final_Exam_Score]]&gt;= 50,"Pass","Fail")</f>
        <v>Pass</v>
      </c>
    </row>
    <row r="505" spans="1:13" x14ac:dyDescent="0.25">
      <c r="A505" t="s">
        <v>527</v>
      </c>
      <c r="B505" t="s">
        <v>18</v>
      </c>
      <c r="C505" s="2">
        <v>19</v>
      </c>
      <c r="D505">
        <v>14</v>
      </c>
      <c r="E505">
        <v>66.09</v>
      </c>
      <c r="F505" t="s">
        <v>32</v>
      </c>
      <c r="G505" t="s">
        <v>23</v>
      </c>
      <c r="H505" t="s">
        <v>16</v>
      </c>
      <c r="I505">
        <v>47</v>
      </c>
      <c r="J505">
        <v>8.6999999999999993</v>
      </c>
      <c r="K505">
        <v>40</v>
      </c>
      <c r="L505" t="s">
        <v>24</v>
      </c>
      <c r="M505" t="str">
        <f>IF(Table2[[#This Row],[Final_Exam_Score]]&gt;= 50,"Pass","Fail")</f>
        <v>Fail</v>
      </c>
    </row>
    <row r="506" spans="1:13" x14ac:dyDescent="0.25">
      <c r="A506" t="s">
        <v>528</v>
      </c>
      <c r="B506" t="s">
        <v>13</v>
      </c>
      <c r="C506" s="2">
        <v>16</v>
      </c>
      <c r="D506">
        <v>22</v>
      </c>
      <c r="E506">
        <v>69.599999999999994</v>
      </c>
      <c r="F506" t="s">
        <v>19</v>
      </c>
      <c r="G506" t="s">
        <v>15</v>
      </c>
      <c r="H506" t="s">
        <v>24</v>
      </c>
      <c r="I506">
        <v>55</v>
      </c>
      <c r="J506">
        <v>7.2</v>
      </c>
      <c r="K506">
        <v>40</v>
      </c>
      <c r="L506" t="s">
        <v>16</v>
      </c>
      <c r="M506" t="str">
        <f>IF(Table2[[#This Row],[Final_Exam_Score]]&gt;= 50,"Pass","Fail")</f>
        <v>Fail</v>
      </c>
    </row>
    <row r="507" spans="1:13" x14ac:dyDescent="0.25">
      <c r="A507" t="s">
        <v>529</v>
      </c>
      <c r="B507" t="s">
        <v>13</v>
      </c>
      <c r="C507" s="2">
        <v>16</v>
      </c>
      <c r="D507">
        <v>18</v>
      </c>
      <c r="E507">
        <v>78.459999999999994</v>
      </c>
      <c r="F507" t="s">
        <v>22</v>
      </c>
      <c r="G507" t="s">
        <v>26</v>
      </c>
      <c r="H507" t="s">
        <v>16</v>
      </c>
      <c r="I507">
        <v>87</v>
      </c>
      <c r="J507">
        <v>7.2</v>
      </c>
      <c r="K507">
        <v>60.189237845674</v>
      </c>
      <c r="L507" t="s">
        <v>24</v>
      </c>
      <c r="M507" t="str">
        <f>IF(Table2[[#This Row],[Final_Exam_Score]]&gt;= 50,"Pass","Fail")</f>
        <v>Pass</v>
      </c>
    </row>
    <row r="508" spans="1:13" x14ac:dyDescent="0.25">
      <c r="A508" t="s">
        <v>530</v>
      </c>
      <c r="B508" t="s">
        <v>18</v>
      </c>
      <c r="C508" s="2">
        <v>20</v>
      </c>
      <c r="D508">
        <v>12</v>
      </c>
      <c r="E508">
        <v>88.25</v>
      </c>
      <c r="F508" t="s">
        <v>22</v>
      </c>
      <c r="G508" t="s">
        <v>15</v>
      </c>
      <c r="H508" t="s">
        <v>16</v>
      </c>
      <c r="I508">
        <v>92</v>
      </c>
      <c r="J508">
        <v>7.4</v>
      </c>
      <c r="K508">
        <v>62.544370053190598</v>
      </c>
      <c r="L508" t="s">
        <v>24</v>
      </c>
      <c r="M508" t="str">
        <f>IF(Table2[[#This Row],[Final_Exam_Score]]&gt;= 50,"Pass","Fail")</f>
        <v>Pass</v>
      </c>
    </row>
    <row r="509" spans="1:13" x14ac:dyDescent="0.25">
      <c r="A509" t="s">
        <v>531</v>
      </c>
      <c r="B509" t="s">
        <v>18</v>
      </c>
      <c r="C509" s="2">
        <v>19</v>
      </c>
      <c r="D509">
        <v>3</v>
      </c>
      <c r="E509">
        <v>87.41</v>
      </c>
      <c r="F509" t="s">
        <v>14</v>
      </c>
      <c r="G509" t="s">
        <v>23</v>
      </c>
      <c r="H509" t="s">
        <v>24</v>
      </c>
      <c r="I509">
        <v>81</v>
      </c>
      <c r="J509">
        <v>4.2</v>
      </c>
      <c r="K509">
        <v>44.998025978478502</v>
      </c>
      <c r="L509" t="s">
        <v>16</v>
      </c>
      <c r="M509" t="str">
        <f>IF(Table2[[#This Row],[Final_Exam_Score]]&gt;= 50,"Pass","Fail")</f>
        <v>Fail</v>
      </c>
    </row>
    <row r="510" spans="1:13" x14ac:dyDescent="0.25">
      <c r="A510" t="s">
        <v>532</v>
      </c>
      <c r="B510" t="s">
        <v>18</v>
      </c>
      <c r="C510" s="2">
        <v>17</v>
      </c>
      <c r="D510">
        <v>22</v>
      </c>
      <c r="E510">
        <v>71.73</v>
      </c>
      <c r="F510" t="s">
        <v>22</v>
      </c>
      <c r="G510" t="s">
        <v>23</v>
      </c>
      <c r="H510" t="s">
        <v>24</v>
      </c>
      <c r="I510">
        <v>95</v>
      </c>
      <c r="J510">
        <v>5.3</v>
      </c>
      <c r="K510">
        <v>58.453583549048602</v>
      </c>
      <c r="L510" t="s">
        <v>24</v>
      </c>
      <c r="M510" t="str">
        <f>IF(Table2[[#This Row],[Final_Exam_Score]]&gt;= 50,"Pass","Fail")</f>
        <v>Pass</v>
      </c>
    </row>
    <row r="511" spans="1:13" x14ac:dyDescent="0.25">
      <c r="A511" t="s">
        <v>533</v>
      </c>
      <c r="B511" t="s">
        <v>18</v>
      </c>
      <c r="C511" s="2">
        <v>17</v>
      </c>
      <c r="D511">
        <v>17</v>
      </c>
      <c r="E511">
        <v>69.650000000000006</v>
      </c>
      <c r="F511" t="s">
        <v>22</v>
      </c>
      <c r="G511" t="s">
        <v>15</v>
      </c>
      <c r="H511" t="s">
        <v>24</v>
      </c>
      <c r="I511">
        <v>61</v>
      </c>
      <c r="J511">
        <v>5.3</v>
      </c>
      <c r="K511">
        <v>40</v>
      </c>
      <c r="L511" t="s">
        <v>24</v>
      </c>
      <c r="M511" t="str">
        <f>IF(Table2[[#This Row],[Final_Exam_Score]]&gt;= 50,"Pass","Fail")</f>
        <v>Fail</v>
      </c>
    </row>
    <row r="512" spans="1:13" x14ac:dyDescent="0.25">
      <c r="A512" t="s">
        <v>534</v>
      </c>
      <c r="B512" t="s">
        <v>18</v>
      </c>
      <c r="C512" s="2">
        <v>15</v>
      </c>
      <c r="D512">
        <v>3</v>
      </c>
      <c r="E512">
        <v>97.83</v>
      </c>
      <c r="F512" t="s">
        <v>14</v>
      </c>
      <c r="G512" t="s">
        <v>26</v>
      </c>
      <c r="H512" t="s">
        <v>24</v>
      </c>
      <c r="I512">
        <v>72</v>
      </c>
      <c r="J512">
        <v>7.9</v>
      </c>
      <c r="K512">
        <v>47.522914539638798</v>
      </c>
      <c r="L512" t="s">
        <v>16</v>
      </c>
      <c r="M512" t="str">
        <f>IF(Table2[[#This Row],[Final_Exam_Score]]&gt;= 50,"Pass","Fail")</f>
        <v>Fail</v>
      </c>
    </row>
    <row r="513" spans="1:13" x14ac:dyDescent="0.25">
      <c r="A513" t="s">
        <v>535</v>
      </c>
      <c r="B513" t="s">
        <v>18</v>
      </c>
      <c r="C513" s="2">
        <v>21</v>
      </c>
      <c r="D513">
        <v>21</v>
      </c>
      <c r="E513">
        <v>77.44</v>
      </c>
      <c r="F513" t="s">
        <v>22</v>
      </c>
      <c r="G513" t="s">
        <v>23</v>
      </c>
      <c r="H513" t="s">
        <v>24</v>
      </c>
      <c r="I513">
        <v>89</v>
      </c>
      <c r="J513">
        <v>4.9000000000000004</v>
      </c>
      <c r="K513">
        <v>54.231828471448303</v>
      </c>
      <c r="L513" t="s">
        <v>16</v>
      </c>
      <c r="M513" t="str">
        <f>IF(Table2[[#This Row],[Final_Exam_Score]]&gt;= 50,"Pass","Fail")</f>
        <v>Pass</v>
      </c>
    </row>
    <row r="514" spans="1:13" x14ac:dyDescent="0.25">
      <c r="A514" t="s">
        <v>536</v>
      </c>
      <c r="B514" t="s">
        <v>13</v>
      </c>
      <c r="C514" s="2">
        <v>16</v>
      </c>
      <c r="D514">
        <v>9</v>
      </c>
      <c r="E514">
        <v>81.12</v>
      </c>
      <c r="F514" t="s">
        <v>22</v>
      </c>
      <c r="G514" t="s">
        <v>26</v>
      </c>
      <c r="H514" t="s">
        <v>16</v>
      </c>
      <c r="I514">
        <v>87</v>
      </c>
      <c r="J514">
        <v>7.7</v>
      </c>
      <c r="K514">
        <v>60.508049973054398</v>
      </c>
      <c r="L514" t="s">
        <v>24</v>
      </c>
      <c r="M514" t="str">
        <f>IF(Table2[[#This Row],[Final_Exam_Score]]&gt;= 50,"Pass","Fail")</f>
        <v>Pass</v>
      </c>
    </row>
    <row r="515" spans="1:13" x14ac:dyDescent="0.25">
      <c r="A515" t="s">
        <v>537</v>
      </c>
      <c r="B515" t="s">
        <v>13</v>
      </c>
      <c r="C515" s="2">
        <v>17</v>
      </c>
      <c r="D515">
        <v>5</v>
      </c>
      <c r="E515">
        <v>68.34</v>
      </c>
      <c r="F515" t="s">
        <v>32</v>
      </c>
      <c r="G515" t="s">
        <v>23</v>
      </c>
      <c r="H515" t="s">
        <v>16</v>
      </c>
      <c r="I515">
        <v>89</v>
      </c>
      <c r="J515">
        <v>6.1</v>
      </c>
      <c r="K515">
        <v>43.945603361522203</v>
      </c>
      <c r="L515" t="s">
        <v>16</v>
      </c>
      <c r="M515" t="str">
        <f>IF(Table2[[#This Row],[Final_Exam_Score]]&gt;= 50,"Pass","Fail")</f>
        <v>Fail</v>
      </c>
    </row>
    <row r="516" spans="1:13" x14ac:dyDescent="0.25">
      <c r="A516" t="s">
        <v>538</v>
      </c>
      <c r="B516" t="s">
        <v>18</v>
      </c>
      <c r="C516" s="2">
        <v>18</v>
      </c>
      <c r="D516">
        <v>22</v>
      </c>
      <c r="E516">
        <v>96.86</v>
      </c>
      <c r="F516" t="s">
        <v>14</v>
      </c>
      <c r="G516" t="s">
        <v>23</v>
      </c>
      <c r="H516" t="s">
        <v>24</v>
      </c>
      <c r="I516">
        <v>93</v>
      </c>
      <c r="J516">
        <v>5.4</v>
      </c>
      <c r="K516">
        <v>54.2620558622015</v>
      </c>
      <c r="L516" t="s">
        <v>24</v>
      </c>
      <c r="M516" t="str">
        <f>IF(Table2[[#This Row],[Final_Exam_Score]]&gt;= 50,"Pass","Fail")</f>
        <v>Pass</v>
      </c>
    </row>
    <row r="517" spans="1:13" x14ac:dyDescent="0.25">
      <c r="A517" t="s">
        <v>539</v>
      </c>
      <c r="B517" t="s">
        <v>13</v>
      </c>
      <c r="C517" s="2">
        <v>18</v>
      </c>
      <c r="D517">
        <v>28</v>
      </c>
      <c r="E517">
        <v>88.38</v>
      </c>
      <c r="F517" t="s">
        <v>19</v>
      </c>
      <c r="G517" t="s">
        <v>15</v>
      </c>
      <c r="H517" t="s">
        <v>16</v>
      </c>
      <c r="I517">
        <v>73</v>
      </c>
      <c r="J517">
        <v>8.5</v>
      </c>
      <c r="K517">
        <v>53.538714937679998</v>
      </c>
      <c r="L517" t="s">
        <v>16</v>
      </c>
      <c r="M517" t="str">
        <f>IF(Table2[[#This Row],[Final_Exam_Score]]&gt;= 50,"Pass","Fail")</f>
        <v>Pass</v>
      </c>
    </row>
    <row r="518" spans="1:13" x14ac:dyDescent="0.25">
      <c r="A518" t="s">
        <v>540</v>
      </c>
      <c r="B518" t="s">
        <v>18</v>
      </c>
      <c r="C518" s="2">
        <v>16</v>
      </c>
      <c r="D518">
        <v>29</v>
      </c>
      <c r="E518">
        <v>82.85</v>
      </c>
      <c r="F518" t="s">
        <v>19</v>
      </c>
      <c r="G518" t="s">
        <v>26</v>
      </c>
      <c r="H518" t="s">
        <v>16</v>
      </c>
      <c r="I518">
        <v>72</v>
      </c>
      <c r="J518">
        <v>5.5</v>
      </c>
      <c r="K518">
        <v>52.635258069848803</v>
      </c>
      <c r="L518" t="s">
        <v>24</v>
      </c>
      <c r="M518" t="str">
        <f>IF(Table2[[#This Row],[Final_Exam_Score]]&gt;= 50,"Pass","Fail")</f>
        <v>Pass</v>
      </c>
    </row>
    <row r="519" spans="1:13" x14ac:dyDescent="0.25">
      <c r="A519" t="s">
        <v>541</v>
      </c>
      <c r="B519" t="s">
        <v>18</v>
      </c>
      <c r="C519" s="2">
        <v>20</v>
      </c>
      <c r="D519">
        <v>28</v>
      </c>
      <c r="E519">
        <v>80.09</v>
      </c>
      <c r="F519" t="s">
        <v>32</v>
      </c>
      <c r="G519" t="s">
        <v>15</v>
      </c>
      <c r="H519" t="s">
        <v>16</v>
      </c>
      <c r="I519">
        <v>56</v>
      </c>
      <c r="J519">
        <v>7.9</v>
      </c>
      <c r="K519">
        <v>56.657923194299997</v>
      </c>
      <c r="L519" t="s">
        <v>24</v>
      </c>
      <c r="M519" t="str">
        <f>IF(Table2[[#This Row],[Final_Exam_Score]]&gt;= 50,"Pass","Fail")</f>
        <v>Pass</v>
      </c>
    </row>
    <row r="520" spans="1:13" x14ac:dyDescent="0.25">
      <c r="A520" t="s">
        <v>542</v>
      </c>
      <c r="B520" t="s">
        <v>13</v>
      </c>
      <c r="C520" s="2">
        <v>18</v>
      </c>
      <c r="D520">
        <v>26</v>
      </c>
      <c r="E520">
        <v>66.8</v>
      </c>
      <c r="F520" t="s">
        <v>14</v>
      </c>
      <c r="G520" t="s">
        <v>15</v>
      </c>
      <c r="H520" t="s">
        <v>24</v>
      </c>
      <c r="I520">
        <v>61</v>
      </c>
      <c r="J520">
        <v>7.8</v>
      </c>
      <c r="K520">
        <v>41.774873508081299</v>
      </c>
      <c r="L520" t="s">
        <v>16</v>
      </c>
      <c r="M520" t="str">
        <f>IF(Table2[[#This Row],[Final_Exam_Score]]&gt;= 50,"Pass","Fail")</f>
        <v>Fail</v>
      </c>
    </row>
    <row r="521" spans="1:13" x14ac:dyDescent="0.25">
      <c r="A521" t="s">
        <v>543</v>
      </c>
      <c r="B521" t="s">
        <v>18</v>
      </c>
      <c r="C521" s="2">
        <v>15</v>
      </c>
      <c r="D521">
        <v>11</v>
      </c>
      <c r="E521">
        <v>72.5</v>
      </c>
      <c r="F521" t="s">
        <v>32</v>
      </c>
      <c r="G521" t="s">
        <v>15</v>
      </c>
      <c r="H521" t="s">
        <v>16</v>
      </c>
      <c r="I521">
        <v>54</v>
      </c>
      <c r="J521">
        <v>5.9</v>
      </c>
      <c r="K521">
        <v>46.789162610797902</v>
      </c>
      <c r="L521" t="s">
        <v>24</v>
      </c>
      <c r="M521" t="str">
        <f>IF(Table2[[#This Row],[Final_Exam_Score]]&gt;= 50,"Pass","Fail")</f>
        <v>Fail</v>
      </c>
    </row>
    <row r="522" spans="1:13" x14ac:dyDescent="0.25">
      <c r="A522" t="s">
        <v>544</v>
      </c>
      <c r="B522" t="s">
        <v>13</v>
      </c>
      <c r="C522" s="2">
        <v>18</v>
      </c>
      <c r="D522">
        <v>24</v>
      </c>
      <c r="E522">
        <v>94.96</v>
      </c>
      <c r="F522" t="s">
        <v>19</v>
      </c>
      <c r="G522" t="s">
        <v>23</v>
      </c>
      <c r="H522" t="s">
        <v>24</v>
      </c>
      <c r="I522">
        <v>68</v>
      </c>
      <c r="J522">
        <v>5.6</v>
      </c>
      <c r="K522">
        <v>55.9282304693876</v>
      </c>
      <c r="L522" t="s">
        <v>16</v>
      </c>
      <c r="M522" t="str">
        <f>IF(Table2[[#This Row],[Final_Exam_Score]]&gt;= 50,"Pass","Fail")</f>
        <v>Pass</v>
      </c>
    </row>
    <row r="523" spans="1:13" x14ac:dyDescent="0.25">
      <c r="A523" t="s">
        <v>545</v>
      </c>
      <c r="B523" t="s">
        <v>18</v>
      </c>
      <c r="C523" s="2">
        <v>21</v>
      </c>
      <c r="D523">
        <v>13</v>
      </c>
      <c r="E523">
        <v>86.78</v>
      </c>
      <c r="F523" t="s">
        <v>14</v>
      </c>
      <c r="G523" t="s">
        <v>26</v>
      </c>
      <c r="H523" t="s">
        <v>24</v>
      </c>
      <c r="I523">
        <v>51</v>
      </c>
      <c r="J523">
        <v>4</v>
      </c>
      <c r="K523">
        <v>49.932452482130202</v>
      </c>
      <c r="L523" t="s">
        <v>16</v>
      </c>
      <c r="M523" t="str">
        <f>IF(Table2[[#This Row],[Final_Exam_Score]]&gt;= 50,"Pass","Fail")</f>
        <v>Fail</v>
      </c>
    </row>
    <row r="524" spans="1:13" x14ac:dyDescent="0.25">
      <c r="A524" t="s">
        <v>546</v>
      </c>
      <c r="B524" t="s">
        <v>13</v>
      </c>
      <c r="C524" s="2">
        <v>21</v>
      </c>
      <c r="D524">
        <v>7</v>
      </c>
      <c r="E524">
        <v>71.790000000000006</v>
      </c>
      <c r="F524" t="s">
        <v>14</v>
      </c>
      <c r="G524" t="s">
        <v>26</v>
      </c>
      <c r="H524" t="s">
        <v>24</v>
      </c>
      <c r="I524">
        <v>63</v>
      </c>
      <c r="J524">
        <v>6.3</v>
      </c>
      <c r="K524">
        <v>43.058966104541398</v>
      </c>
      <c r="L524" t="s">
        <v>24</v>
      </c>
      <c r="M524" t="str">
        <f>IF(Table2[[#This Row],[Final_Exam_Score]]&gt;= 50,"Pass","Fail")</f>
        <v>Fail</v>
      </c>
    </row>
    <row r="525" spans="1:13" x14ac:dyDescent="0.25">
      <c r="A525" t="s">
        <v>547</v>
      </c>
      <c r="B525" t="s">
        <v>13</v>
      </c>
      <c r="C525" s="2">
        <v>20</v>
      </c>
      <c r="D525">
        <v>12</v>
      </c>
      <c r="E525">
        <v>71.62</v>
      </c>
      <c r="F525" t="s">
        <v>32</v>
      </c>
      <c r="G525" t="s">
        <v>15</v>
      </c>
      <c r="H525" t="s">
        <v>16</v>
      </c>
      <c r="I525">
        <v>90</v>
      </c>
      <c r="J525">
        <v>4.9000000000000004</v>
      </c>
      <c r="K525">
        <v>45.873453402051702</v>
      </c>
      <c r="L525" t="s">
        <v>16</v>
      </c>
      <c r="M525" t="str">
        <f>IF(Table2[[#This Row],[Final_Exam_Score]]&gt;= 50,"Pass","Fail")</f>
        <v>Fail</v>
      </c>
    </row>
    <row r="526" spans="1:13" x14ac:dyDescent="0.25">
      <c r="A526" t="s">
        <v>548</v>
      </c>
      <c r="B526" t="s">
        <v>18</v>
      </c>
      <c r="C526" s="2">
        <v>15</v>
      </c>
      <c r="D526">
        <v>25</v>
      </c>
      <c r="E526">
        <v>77.25</v>
      </c>
      <c r="F526" t="s">
        <v>14</v>
      </c>
      <c r="G526" t="s">
        <v>26</v>
      </c>
      <c r="H526" t="s">
        <v>24</v>
      </c>
      <c r="I526">
        <v>82</v>
      </c>
      <c r="J526">
        <v>4.0999999999999996</v>
      </c>
      <c r="K526">
        <v>51.128540695785503</v>
      </c>
      <c r="L526" t="s">
        <v>24</v>
      </c>
      <c r="M526" t="str">
        <f>IF(Table2[[#This Row],[Final_Exam_Score]]&gt;= 50,"Pass","Fail")</f>
        <v>Pass</v>
      </c>
    </row>
    <row r="527" spans="1:13" x14ac:dyDescent="0.25">
      <c r="A527" t="s">
        <v>549</v>
      </c>
      <c r="B527" t="s">
        <v>18</v>
      </c>
      <c r="C527" s="2">
        <v>19</v>
      </c>
      <c r="D527">
        <v>6</v>
      </c>
      <c r="E527">
        <v>86.54</v>
      </c>
      <c r="F527" t="s">
        <v>14</v>
      </c>
      <c r="G527" t="s">
        <v>15</v>
      </c>
      <c r="H527" t="s">
        <v>16</v>
      </c>
      <c r="I527">
        <v>86</v>
      </c>
      <c r="J527">
        <v>7.1</v>
      </c>
      <c r="K527">
        <v>56.249976422500801</v>
      </c>
      <c r="L527" t="s">
        <v>24</v>
      </c>
      <c r="M527" t="str">
        <f>IF(Table2[[#This Row],[Final_Exam_Score]]&gt;= 50,"Pass","Fail")</f>
        <v>Pass</v>
      </c>
    </row>
    <row r="528" spans="1:13" x14ac:dyDescent="0.25">
      <c r="A528" t="s">
        <v>550</v>
      </c>
      <c r="B528" t="s">
        <v>18</v>
      </c>
      <c r="C528" s="2">
        <v>18</v>
      </c>
      <c r="D528">
        <v>26</v>
      </c>
      <c r="E528">
        <v>83.98</v>
      </c>
      <c r="F528" t="s">
        <v>22</v>
      </c>
      <c r="G528" t="s">
        <v>23</v>
      </c>
      <c r="H528" t="s">
        <v>16</v>
      </c>
      <c r="I528">
        <v>45</v>
      </c>
      <c r="J528">
        <v>4.5999999999999996</v>
      </c>
      <c r="K528">
        <v>40</v>
      </c>
      <c r="L528" t="s">
        <v>24</v>
      </c>
      <c r="M528" t="str">
        <f>IF(Table2[[#This Row],[Final_Exam_Score]]&gt;= 50,"Pass","Fail")</f>
        <v>Fail</v>
      </c>
    </row>
    <row r="529" spans="1:13" x14ac:dyDescent="0.25">
      <c r="A529" t="s">
        <v>551</v>
      </c>
      <c r="B529" t="s">
        <v>13</v>
      </c>
      <c r="C529" s="2">
        <v>18</v>
      </c>
      <c r="D529">
        <v>26</v>
      </c>
      <c r="E529">
        <v>83.45</v>
      </c>
      <c r="F529" t="s">
        <v>19</v>
      </c>
      <c r="G529" t="s">
        <v>23</v>
      </c>
      <c r="H529" t="s">
        <v>24</v>
      </c>
      <c r="I529">
        <v>66</v>
      </c>
      <c r="J529">
        <v>5.5</v>
      </c>
      <c r="K529">
        <v>62.857850854449403</v>
      </c>
      <c r="L529" t="s">
        <v>24</v>
      </c>
      <c r="M529" t="str">
        <f>IF(Table2[[#This Row],[Final_Exam_Score]]&gt;= 50,"Pass","Fail")</f>
        <v>Pass</v>
      </c>
    </row>
    <row r="530" spans="1:13" x14ac:dyDescent="0.25">
      <c r="A530" t="s">
        <v>552</v>
      </c>
      <c r="B530" t="s">
        <v>13</v>
      </c>
      <c r="C530" s="2">
        <v>17</v>
      </c>
      <c r="D530">
        <v>21</v>
      </c>
      <c r="E530">
        <v>95.41</v>
      </c>
      <c r="F530" t="s">
        <v>28</v>
      </c>
      <c r="G530" t="s">
        <v>15</v>
      </c>
      <c r="H530" t="s">
        <v>16</v>
      </c>
      <c r="I530">
        <v>61</v>
      </c>
      <c r="J530">
        <v>7.6</v>
      </c>
      <c r="K530">
        <v>40.649419162640498</v>
      </c>
      <c r="L530" t="s">
        <v>24</v>
      </c>
      <c r="M530" t="str">
        <f>IF(Table2[[#This Row],[Final_Exam_Score]]&gt;= 50,"Pass","Fail")</f>
        <v>Fail</v>
      </c>
    </row>
    <row r="531" spans="1:13" x14ac:dyDescent="0.25">
      <c r="A531" t="s">
        <v>553</v>
      </c>
      <c r="B531" t="s">
        <v>18</v>
      </c>
      <c r="C531" s="2">
        <v>19</v>
      </c>
      <c r="D531">
        <v>16</v>
      </c>
      <c r="E531">
        <v>95.14</v>
      </c>
      <c r="F531" t="s">
        <v>32</v>
      </c>
      <c r="G531" t="s">
        <v>26</v>
      </c>
      <c r="H531" t="s">
        <v>24</v>
      </c>
      <c r="I531">
        <v>81</v>
      </c>
      <c r="J531">
        <v>7.7</v>
      </c>
      <c r="K531">
        <v>53.093800703050498</v>
      </c>
      <c r="L531" t="s">
        <v>16</v>
      </c>
      <c r="M531" t="str">
        <f>IF(Table2[[#This Row],[Final_Exam_Score]]&gt;= 50,"Pass","Fail")</f>
        <v>Pass</v>
      </c>
    </row>
    <row r="532" spans="1:13" x14ac:dyDescent="0.25">
      <c r="A532" t="s">
        <v>554</v>
      </c>
      <c r="B532" t="s">
        <v>18</v>
      </c>
      <c r="C532" s="2">
        <v>21</v>
      </c>
      <c r="D532">
        <v>14</v>
      </c>
      <c r="E532">
        <v>94.58</v>
      </c>
      <c r="F532" t="s">
        <v>22</v>
      </c>
      <c r="G532" t="s">
        <v>26</v>
      </c>
      <c r="H532" t="s">
        <v>24</v>
      </c>
      <c r="I532">
        <v>81</v>
      </c>
      <c r="J532">
        <v>8.8000000000000007</v>
      </c>
      <c r="K532">
        <v>57.879556899054201</v>
      </c>
      <c r="L532" t="s">
        <v>24</v>
      </c>
      <c r="M532" t="str">
        <f>IF(Table2[[#This Row],[Final_Exam_Score]]&gt;= 50,"Pass","Fail")</f>
        <v>Pass</v>
      </c>
    </row>
    <row r="533" spans="1:13" x14ac:dyDescent="0.25">
      <c r="A533" t="s">
        <v>555</v>
      </c>
      <c r="B533" t="s">
        <v>18</v>
      </c>
      <c r="C533" s="2">
        <v>16</v>
      </c>
      <c r="D533">
        <v>6</v>
      </c>
      <c r="E533">
        <v>89.59</v>
      </c>
      <c r="F533" t="s">
        <v>14</v>
      </c>
      <c r="G533" t="s">
        <v>15</v>
      </c>
      <c r="H533" t="s">
        <v>16</v>
      </c>
      <c r="I533">
        <v>94</v>
      </c>
      <c r="J533">
        <v>8.5</v>
      </c>
      <c r="K533">
        <v>57.4286565066188</v>
      </c>
      <c r="L533" t="s">
        <v>16</v>
      </c>
      <c r="M533" t="str">
        <f>IF(Table2[[#This Row],[Final_Exam_Score]]&gt;= 50,"Pass","Fail")</f>
        <v>Pass</v>
      </c>
    </row>
    <row r="534" spans="1:13" x14ac:dyDescent="0.25">
      <c r="A534" t="s">
        <v>556</v>
      </c>
      <c r="B534" t="s">
        <v>13</v>
      </c>
      <c r="C534" s="2">
        <v>16</v>
      </c>
      <c r="D534">
        <v>7</v>
      </c>
      <c r="E534">
        <v>78.739999999999995</v>
      </c>
      <c r="F534" t="s">
        <v>28</v>
      </c>
      <c r="G534" t="s">
        <v>23</v>
      </c>
      <c r="H534" t="s">
        <v>16</v>
      </c>
      <c r="I534">
        <v>97</v>
      </c>
      <c r="J534">
        <v>6.6</v>
      </c>
      <c r="K534">
        <v>54.298676723463501</v>
      </c>
      <c r="L534" t="s">
        <v>16</v>
      </c>
      <c r="M534" t="str">
        <f>IF(Table2[[#This Row],[Final_Exam_Score]]&gt;= 50,"Pass","Fail")</f>
        <v>Pass</v>
      </c>
    </row>
    <row r="535" spans="1:13" x14ac:dyDescent="0.25">
      <c r="A535" t="s">
        <v>557</v>
      </c>
      <c r="B535" t="s">
        <v>13</v>
      </c>
      <c r="C535" s="2">
        <v>21</v>
      </c>
      <c r="D535">
        <v>24</v>
      </c>
      <c r="E535">
        <v>74.430000000000007</v>
      </c>
      <c r="F535" t="s">
        <v>14</v>
      </c>
      <c r="G535" t="s">
        <v>23</v>
      </c>
      <c r="H535" t="s">
        <v>16</v>
      </c>
      <c r="I535">
        <v>96</v>
      </c>
      <c r="J535">
        <v>8.6999999999999993</v>
      </c>
      <c r="K535">
        <v>67.736032040272207</v>
      </c>
      <c r="L535" t="s">
        <v>16</v>
      </c>
      <c r="M535" t="str">
        <f>IF(Table2[[#This Row],[Final_Exam_Score]]&gt;= 50,"Pass","Fail")</f>
        <v>Pass</v>
      </c>
    </row>
    <row r="536" spans="1:13" x14ac:dyDescent="0.25">
      <c r="A536" t="s">
        <v>558</v>
      </c>
      <c r="B536" t="s">
        <v>18</v>
      </c>
      <c r="C536" s="2">
        <v>15</v>
      </c>
      <c r="D536">
        <v>22</v>
      </c>
      <c r="E536">
        <v>98.45</v>
      </c>
      <c r="F536" t="s">
        <v>28</v>
      </c>
      <c r="G536" t="s">
        <v>26</v>
      </c>
      <c r="H536" t="s">
        <v>16</v>
      </c>
      <c r="I536">
        <v>70</v>
      </c>
      <c r="J536">
        <v>5.7</v>
      </c>
      <c r="K536">
        <v>54.677353430691902</v>
      </c>
      <c r="L536" t="s">
        <v>16</v>
      </c>
      <c r="M536" t="str">
        <f>IF(Table2[[#This Row],[Final_Exam_Score]]&gt;= 50,"Pass","Fail")</f>
        <v>Pass</v>
      </c>
    </row>
    <row r="537" spans="1:13" x14ac:dyDescent="0.25">
      <c r="A537" t="s">
        <v>559</v>
      </c>
      <c r="B537" t="s">
        <v>18</v>
      </c>
      <c r="C537" s="2">
        <v>18</v>
      </c>
      <c r="D537">
        <v>2</v>
      </c>
      <c r="E537">
        <v>66.58</v>
      </c>
      <c r="F537" t="s">
        <v>32</v>
      </c>
      <c r="G537" t="s">
        <v>15</v>
      </c>
      <c r="H537" t="s">
        <v>16</v>
      </c>
      <c r="I537">
        <v>89</v>
      </c>
      <c r="J537">
        <v>6.8</v>
      </c>
      <c r="K537">
        <v>54.908603568920398</v>
      </c>
      <c r="L537" t="s">
        <v>24</v>
      </c>
      <c r="M537" t="str">
        <f>IF(Table2[[#This Row],[Final_Exam_Score]]&gt;= 50,"Pass","Fail")</f>
        <v>Pass</v>
      </c>
    </row>
    <row r="538" spans="1:13" x14ac:dyDescent="0.25">
      <c r="A538" t="s">
        <v>560</v>
      </c>
      <c r="B538" t="s">
        <v>18</v>
      </c>
      <c r="C538" s="2">
        <v>18</v>
      </c>
      <c r="D538">
        <v>17</v>
      </c>
      <c r="E538">
        <v>86.64</v>
      </c>
      <c r="F538" t="s">
        <v>32</v>
      </c>
      <c r="G538" t="s">
        <v>26</v>
      </c>
      <c r="H538" t="s">
        <v>16</v>
      </c>
      <c r="I538">
        <v>80</v>
      </c>
      <c r="J538">
        <v>6.7</v>
      </c>
      <c r="K538">
        <v>52.337724405279097</v>
      </c>
      <c r="L538" t="s">
        <v>24</v>
      </c>
      <c r="M538" t="str">
        <f>IF(Table2[[#This Row],[Final_Exam_Score]]&gt;= 50,"Pass","Fail")</f>
        <v>Pass</v>
      </c>
    </row>
    <row r="539" spans="1:13" x14ac:dyDescent="0.25">
      <c r="A539" t="s">
        <v>561</v>
      </c>
      <c r="B539" t="s">
        <v>18</v>
      </c>
      <c r="C539" s="2">
        <v>20</v>
      </c>
      <c r="D539">
        <v>18</v>
      </c>
      <c r="E539">
        <v>94.61</v>
      </c>
      <c r="F539" t="s">
        <v>14</v>
      </c>
      <c r="G539" t="s">
        <v>26</v>
      </c>
      <c r="H539" t="s">
        <v>24</v>
      </c>
      <c r="I539">
        <v>83</v>
      </c>
      <c r="J539">
        <v>4.0999999999999996</v>
      </c>
      <c r="K539">
        <v>62.737729651041398</v>
      </c>
      <c r="L539" t="s">
        <v>16</v>
      </c>
      <c r="M539" t="str">
        <f>IF(Table2[[#This Row],[Final_Exam_Score]]&gt;= 50,"Pass","Fail")</f>
        <v>Pass</v>
      </c>
    </row>
    <row r="540" spans="1:13" x14ac:dyDescent="0.25">
      <c r="A540" t="s">
        <v>562</v>
      </c>
      <c r="B540" t="s">
        <v>18</v>
      </c>
      <c r="C540" s="2">
        <v>18</v>
      </c>
      <c r="D540">
        <v>27</v>
      </c>
      <c r="E540">
        <v>74.52</v>
      </c>
      <c r="F540" t="s">
        <v>19</v>
      </c>
      <c r="G540" t="s">
        <v>15</v>
      </c>
      <c r="H540" t="s">
        <v>16</v>
      </c>
      <c r="I540">
        <v>60</v>
      </c>
      <c r="J540">
        <v>4.2</v>
      </c>
      <c r="K540">
        <v>48.175694056127703</v>
      </c>
      <c r="L540" t="s">
        <v>16</v>
      </c>
      <c r="M540" t="str">
        <f>IF(Table2[[#This Row],[Final_Exam_Score]]&gt;= 50,"Pass","Fail")</f>
        <v>Fail</v>
      </c>
    </row>
    <row r="541" spans="1:13" x14ac:dyDescent="0.25">
      <c r="A541" t="s">
        <v>563</v>
      </c>
      <c r="B541" t="s">
        <v>13</v>
      </c>
      <c r="C541" s="2">
        <v>17</v>
      </c>
      <c r="D541">
        <v>2</v>
      </c>
      <c r="E541">
        <v>99.26</v>
      </c>
      <c r="F541" t="s">
        <v>14</v>
      </c>
      <c r="G541" t="s">
        <v>15</v>
      </c>
      <c r="H541" t="s">
        <v>16</v>
      </c>
      <c r="I541">
        <v>52</v>
      </c>
      <c r="J541">
        <v>5.2</v>
      </c>
      <c r="K541">
        <v>40</v>
      </c>
      <c r="L541" t="s">
        <v>16</v>
      </c>
      <c r="M541" t="str">
        <f>IF(Table2[[#This Row],[Final_Exam_Score]]&gt;= 50,"Pass","Fail")</f>
        <v>Fail</v>
      </c>
    </row>
    <row r="542" spans="1:13" x14ac:dyDescent="0.25">
      <c r="A542" t="s">
        <v>564</v>
      </c>
      <c r="B542" t="s">
        <v>18</v>
      </c>
      <c r="C542" s="2">
        <v>16</v>
      </c>
      <c r="D542">
        <v>18</v>
      </c>
      <c r="E542">
        <v>96.01</v>
      </c>
      <c r="F542" t="s">
        <v>28</v>
      </c>
      <c r="G542" t="s">
        <v>23</v>
      </c>
      <c r="H542" t="s">
        <v>16</v>
      </c>
      <c r="I542">
        <v>99</v>
      </c>
      <c r="J542">
        <v>8.6999999999999993</v>
      </c>
      <c r="K542">
        <v>58.146849220519798</v>
      </c>
      <c r="L542" t="s">
        <v>16</v>
      </c>
      <c r="M542" t="str">
        <f>IF(Table2[[#This Row],[Final_Exam_Score]]&gt;= 50,"Pass","Fail")</f>
        <v>Pass</v>
      </c>
    </row>
    <row r="543" spans="1:13" x14ac:dyDescent="0.25">
      <c r="A543" t="s">
        <v>565</v>
      </c>
      <c r="B543" t="s">
        <v>13</v>
      </c>
      <c r="C543" s="2">
        <v>21</v>
      </c>
      <c r="D543">
        <v>3</v>
      </c>
      <c r="E543">
        <v>71.98</v>
      </c>
      <c r="F543" t="s">
        <v>22</v>
      </c>
      <c r="G543" t="s">
        <v>26</v>
      </c>
      <c r="H543" t="s">
        <v>24</v>
      </c>
      <c r="I543">
        <v>55</v>
      </c>
      <c r="J543">
        <v>8.5</v>
      </c>
      <c r="K543">
        <v>42.945210332475</v>
      </c>
      <c r="L543" t="s">
        <v>16</v>
      </c>
      <c r="M543" t="str">
        <f>IF(Table2[[#This Row],[Final_Exam_Score]]&gt;= 50,"Pass","Fail")</f>
        <v>Fail</v>
      </c>
    </row>
    <row r="544" spans="1:13" x14ac:dyDescent="0.25">
      <c r="A544" t="s">
        <v>566</v>
      </c>
      <c r="B544" t="s">
        <v>13</v>
      </c>
      <c r="C544" s="2">
        <v>18</v>
      </c>
      <c r="D544">
        <v>22</v>
      </c>
      <c r="E544">
        <v>74.459999999999994</v>
      </c>
      <c r="F544" t="s">
        <v>19</v>
      </c>
      <c r="G544" t="s">
        <v>26</v>
      </c>
      <c r="H544" t="s">
        <v>16</v>
      </c>
      <c r="I544">
        <v>78</v>
      </c>
      <c r="J544">
        <v>7.2</v>
      </c>
      <c r="K544">
        <v>52.706359586369103</v>
      </c>
      <c r="L544" t="s">
        <v>24</v>
      </c>
      <c r="M544" t="str">
        <f>IF(Table2[[#This Row],[Final_Exam_Score]]&gt;= 50,"Pass","Fail")</f>
        <v>Pass</v>
      </c>
    </row>
    <row r="545" spans="1:13" x14ac:dyDescent="0.25">
      <c r="A545" t="s">
        <v>567</v>
      </c>
      <c r="B545" t="s">
        <v>13</v>
      </c>
      <c r="C545" s="2">
        <v>19</v>
      </c>
      <c r="D545">
        <v>9</v>
      </c>
      <c r="E545">
        <v>96.41</v>
      </c>
      <c r="F545" t="s">
        <v>28</v>
      </c>
      <c r="G545" t="s">
        <v>26</v>
      </c>
      <c r="H545" t="s">
        <v>24</v>
      </c>
      <c r="I545">
        <v>66</v>
      </c>
      <c r="J545">
        <v>4.3</v>
      </c>
      <c r="K545">
        <v>54.1106585832351</v>
      </c>
      <c r="L545" t="s">
        <v>24</v>
      </c>
      <c r="M545" t="str">
        <f>IF(Table2[[#This Row],[Final_Exam_Score]]&gt;= 50,"Pass","Fail")</f>
        <v>Pass</v>
      </c>
    </row>
    <row r="546" spans="1:13" x14ac:dyDescent="0.25">
      <c r="A546" t="s">
        <v>568</v>
      </c>
      <c r="B546" t="s">
        <v>18</v>
      </c>
      <c r="C546" s="2">
        <v>16</v>
      </c>
      <c r="D546">
        <v>2</v>
      </c>
      <c r="E546">
        <v>68.819999999999993</v>
      </c>
      <c r="F546" t="s">
        <v>19</v>
      </c>
      <c r="G546" t="s">
        <v>26</v>
      </c>
      <c r="H546" t="s">
        <v>16</v>
      </c>
      <c r="I546">
        <v>62</v>
      </c>
      <c r="J546">
        <v>8.8000000000000007</v>
      </c>
      <c r="K546">
        <v>42.806483971434197</v>
      </c>
      <c r="L546" t="s">
        <v>16</v>
      </c>
      <c r="M546" t="str">
        <f>IF(Table2[[#This Row],[Final_Exam_Score]]&gt;= 50,"Pass","Fail")</f>
        <v>Fail</v>
      </c>
    </row>
    <row r="547" spans="1:13" x14ac:dyDescent="0.25">
      <c r="A547" t="s">
        <v>569</v>
      </c>
      <c r="B547" t="s">
        <v>13</v>
      </c>
      <c r="C547" s="2">
        <v>20</v>
      </c>
      <c r="D547">
        <v>3</v>
      </c>
      <c r="E547">
        <v>71.599999999999994</v>
      </c>
      <c r="F547" t="s">
        <v>19</v>
      </c>
      <c r="G547" t="s">
        <v>15</v>
      </c>
      <c r="H547" t="s">
        <v>24</v>
      </c>
      <c r="I547">
        <v>59</v>
      </c>
      <c r="J547">
        <v>4.3</v>
      </c>
      <c r="K547">
        <v>40</v>
      </c>
      <c r="L547" t="s">
        <v>24</v>
      </c>
      <c r="M547" t="str">
        <f>IF(Table2[[#This Row],[Final_Exam_Score]]&gt;= 50,"Pass","Fail")</f>
        <v>Fail</v>
      </c>
    </row>
    <row r="548" spans="1:13" x14ac:dyDescent="0.25">
      <c r="A548" t="s">
        <v>570</v>
      </c>
      <c r="B548" t="s">
        <v>18</v>
      </c>
      <c r="C548" s="2">
        <v>20</v>
      </c>
      <c r="D548">
        <v>14</v>
      </c>
      <c r="E548">
        <v>86.3</v>
      </c>
      <c r="F548" t="s">
        <v>32</v>
      </c>
      <c r="G548" t="s">
        <v>15</v>
      </c>
      <c r="H548" t="s">
        <v>24</v>
      </c>
      <c r="I548">
        <v>62</v>
      </c>
      <c r="J548">
        <v>6.5</v>
      </c>
      <c r="K548">
        <v>40.311528183739199</v>
      </c>
      <c r="L548" t="s">
        <v>24</v>
      </c>
      <c r="M548" t="str">
        <f>IF(Table2[[#This Row],[Final_Exam_Score]]&gt;= 50,"Pass","Fail")</f>
        <v>Fail</v>
      </c>
    </row>
    <row r="549" spans="1:13" x14ac:dyDescent="0.25">
      <c r="A549" t="s">
        <v>571</v>
      </c>
      <c r="B549" t="s">
        <v>18</v>
      </c>
      <c r="C549" s="2">
        <v>19</v>
      </c>
      <c r="D549">
        <v>15</v>
      </c>
      <c r="E549">
        <v>70.150000000000006</v>
      </c>
      <c r="F549" t="s">
        <v>19</v>
      </c>
      <c r="G549" t="s">
        <v>26</v>
      </c>
      <c r="H549" t="s">
        <v>16</v>
      </c>
      <c r="I549">
        <v>96</v>
      </c>
      <c r="J549">
        <v>7.1</v>
      </c>
      <c r="K549">
        <v>56.420819995386204</v>
      </c>
      <c r="L549" t="s">
        <v>16</v>
      </c>
      <c r="M549" t="str">
        <f>IF(Table2[[#This Row],[Final_Exam_Score]]&gt;= 50,"Pass","Fail")</f>
        <v>Pass</v>
      </c>
    </row>
    <row r="550" spans="1:13" x14ac:dyDescent="0.25">
      <c r="A550" t="s">
        <v>572</v>
      </c>
      <c r="B550" t="s">
        <v>18</v>
      </c>
      <c r="C550" s="2">
        <v>19</v>
      </c>
      <c r="D550">
        <v>4</v>
      </c>
      <c r="E550">
        <v>85.04</v>
      </c>
      <c r="F550" t="s">
        <v>32</v>
      </c>
      <c r="G550" t="s">
        <v>26</v>
      </c>
      <c r="H550" t="s">
        <v>24</v>
      </c>
      <c r="I550">
        <v>91</v>
      </c>
      <c r="J550">
        <v>7.5</v>
      </c>
      <c r="K550">
        <v>55.456457228361202</v>
      </c>
      <c r="L550" t="s">
        <v>24</v>
      </c>
      <c r="M550" t="str">
        <f>IF(Table2[[#This Row],[Final_Exam_Score]]&gt;= 50,"Pass","Fail")</f>
        <v>Pass</v>
      </c>
    </row>
    <row r="551" spans="1:13" x14ac:dyDescent="0.25">
      <c r="A551" t="s">
        <v>573</v>
      </c>
      <c r="B551" t="s">
        <v>13</v>
      </c>
      <c r="C551" s="2">
        <v>20</v>
      </c>
      <c r="D551">
        <v>27</v>
      </c>
      <c r="E551">
        <v>85.14</v>
      </c>
      <c r="F551" t="s">
        <v>22</v>
      </c>
      <c r="G551" t="s">
        <v>26</v>
      </c>
      <c r="H551" t="s">
        <v>24</v>
      </c>
      <c r="I551">
        <v>77</v>
      </c>
      <c r="J551">
        <v>8.6</v>
      </c>
      <c r="K551">
        <v>52.4498224538995</v>
      </c>
      <c r="L551" t="s">
        <v>24</v>
      </c>
      <c r="M551" t="str">
        <f>IF(Table2[[#This Row],[Final_Exam_Score]]&gt;= 50,"Pass","Fail")</f>
        <v>Pass</v>
      </c>
    </row>
    <row r="552" spans="1:13" x14ac:dyDescent="0.25">
      <c r="A552" t="s">
        <v>574</v>
      </c>
      <c r="B552" t="s">
        <v>13</v>
      </c>
      <c r="C552" s="2">
        <v>15</v>
      </c>
      <c r="D552">
        <v>27</v>
      </c>
      <c r="E552">
        <v>85.87</v>
      </c>
      <c r="F552" t="s">
        <v>19</v>
      </c>
      <c r="G552" t="s">
        <v>26</v>
      </c>
      <c r="H552" t="s">
        <v>16</v>
      </c>
      <c r="I552">
        <v>47</v>
      </c>
      <c r="J552">
        <v>5.7</v>
      </c>
      <c r="K552">
        <v>46.629214572982697</v>
      </c>
      <c r="L552" t="s">
        <v>24</v>
      </c>
      <c r="M552" t="str">
        <f>IF(Table2[[#This Row],[Final_Exam_Score]]&gt;= 50,"Pass","Fail")</f>
        <v>Fail</v>
      </c>
    </row>
    <row r="553" spans="1:13" x14ac:dyDescent="0.25">
      <c r="A553" t="s">
        <v>575</v>
      </c>
      <c r="B553" t="s">
        <v>13</v>
      </c>
      <c r="C553" s="2">
        <v>15</v>
      </c>
      <c r="D553">
        <v>25</v>
      </c>
      <c r="E553">
        <v>73.77</v>
      </c>
      <c r="F553" t="s">
        <v>22</v>
      </c>
      <c r="G553" t="s">
        <v>26</v>
      </c>
      <c r="H553" t="s">
        <v>16</v>
      </c>
      <c r="I553">
        <v>59</v>
      </c>
      <c r="J553">
        <v>5.9</v>
      </c>
      <c r="K553">
        <v>44.782718216464602</v>
      </c>
      <c r="L553" t="s">
        <v>16</v>
      </c>
      <c r="M553" t="str">
        <f>IF(Table2[[#This Row],[Final_Exam_Score]]&gt;= 50,"Pass","Fail")</f>
        <v>Fail</v>
      </c>
    </row>
    <row r="554" spans="1:13" x14ac:dyDescent="0.25">
      <c r="A554" t="s">
        <v>576</v>
      </c>
      <c r="B554" t="s">
        <v>18</v>
      </c>
      <c r="C554" s="2">
        <v>17</v>
      </c>
      <c r="D554">
        <v>13</v>
      </c>
      <c r="E554">
        <v>93.74</v>
      </c>
      <c r="F554" t="s">
        <v>14</v>
      </c>
      <c r="G554" t="s">
        <v>26</v>
      </c>
      <c r="H554" t="s">
        <v>24</v>
      </c>
      <c r="I554">
        <v>61</v>
      </c>
      <c r="J554">
        <v>6.7</v>
      </c>
      <c r="K554">
        <v>43.264153392796899</v>
      </c>
      <c r="L554" t="s">
        <v>24</v>
      </c>
      <c r="M554" t="str">
        <f>IF(Table2[[#This Row],[Final_Exam_Score]]&gt;= 50,"Pass","Fail")</f>
        <v>Fail</v>
      </c>
    </row>
    <row r="555" spans="1:13" x14ac:dyDescent="0.25">
      <c r="A555" t="s">
        <v>577</v>
      </c>
      <c r="B555" t="s">
        <v>13</v>
      </c>
      <c r="C555" s="2">
        <v>17</v>
      </c>
      <c r="D555">
        <v>20</v>
      </c>
      <c r="E555">
        <v>98.97</v>
      </c>
      <c r="F555" t="s">
        <v>19</v>
      </c>
      <c r="G555" t="s">
        <v>26</v>
      </c>
      <c r="H555" t="s">
        <v>16</v>
      </c>
      <c r="I555">
        <v>81</v>
      </c>
      <c r="J555">
        <v>5.2</v>
      </c>
      <c r="K555">
        <v>59.469180335592497</v>
      </c>
      <c r="L555" t="s">
        <v>16</v>
      </c>
      <c r="M555" t="str">
        <f>IF(Table2[[#This Row],[Final_Exam_Score]]&gt;= 50,"Pass","Fail")</f>
        <v>Pass</v>
      </c>
    </row>
    <row r="556" spans="1:13" x14ac:dyDescent="0.25">
      <c r="A556" t="s">
        <v>578</v>
      </c>
      <c r="B556" t="s">
        <v>18</v>
      </c>
      <c r="C556" s="2">
        <v>21</v>
      </c>
      <c r="D556">
        <v>10</v>
      </c>
      <c r="E556">
        <v>74.73</v>
      </c>
      <c r="F556" t="s">
        <v>19</v>
      </c>
      <c r="G556" t="s">
        <v>15</v>
      </c>
      <c r="H556" t="s">
        <v>24</v>
      </c>
      <c r="I556">
        <v>59</v>
      </c>
      <c r="J556">
        <v>6.7</v>
      </c>
      <c r="K556">
        <v>40</v>
      </c>
      <c r="L556" t="s">
        <v>24</v>
      </c>
      <c r="M556" t="str">
        <f>IF(Table2[[#This Row],[Final_Exam_Score]]&gt;= 50,"Pass","Fail")</f>
        <v>Fail</v>
      </c>
    </row>
    <row r="557" spans="1:13" x14ac:dyDescent="0.25">
      <c r="A557" t="s">
        <v>579</v>
      </c>
      <c r="B557" t="s">
        <v>18</v>
      </c>
      <c r="C557" s="2">
        <v>20</v>
      </c>
      <c r="D557">
        <v>5</v>
      </c>
      <c r="E557">
        <v>95.29</v>
      </c>
      <c r="F557" t="s">
        <v>28</v>
      </c>
      <c r="G557" t="s">
        <v>26</v>
      </c>
      <c r="H557" t="s">
        <v>16</v>
      </c>
      <c r="I557">
        <v>92</v>
      </c>
      <c r="J557">
        <v>5.7</v>
      </c>
      <c r="K557">
        <v>50.104302728168797</v>
      </c>
      <c r="L557" t="s">
        <v>24</v>
      </c>
      <c r="M557" t="str">
        <f>IF(Table2[[#This Row],[Final_Exam_Score]]&gt;= 50,"Pass","Fail")</f>
        <v>Pass</v>
      </c>
    </row>
    <row r="558" spans="1:13" x14ac:dyDescent="0.25">
      <c r="A558" t="s">
        <v>580</v>
      </c>
      <c r="B558" t="s">
        <v>13</v>
      </c>
      <c r="C558" s="2">
        <v>17</v>
      </c>
      <c r="D558">
        <v>6</v>
      </c>
      <c r="E558">
        <v>75.260000000000005</v>
      </c>
      <c r="F558" t="s">
        <v>14</v>
      </c>
      <c r="G558" t="s">
        <v>26</v>
      </c>
      <c r="H558" t="s">
        <v>16</v>
      </c>
      <c r="I558">
        <v>62</v>
      </c>
      <c r="J558">
        <v>8.6</v>
      </c>
      <c r="K558">
        <v>49.513007154895298</v>
      </c>
      <c r="L558" t="s">
        <v>16</v>
      </c>
      <c r="M558" t="str">
        <f>IF(Table2[[#This Row],[Final_Exam_Score]]&gt;= 50,"Pass","Fail")</f>
        <v>Fail</v>
      </c>
    </row>
    <row r="559" spans="1:13" x14ac:dyDescent="0.25">
      <c r="A559" t="s">
        <v>581</v>
      </c>
      <c r="B559" t="s">
        <v>18</v>
      </c>
      <c r="C559" s="2">
        <v>15</v>
      </c>
      <c r="D559">
        <v>22</v>
      </c>
      <c r="E559">
        <v>77.209999999999994</v>
      </c>
      <c r="F559" t="s">
        <v>19</v>
      </c>
      <c r="G559" t="s">
        <v>23</v>
      </c>
      <c r="H559" t="s">
        <v>24</v>
      </c>
      <c r="I559">
        <v>98</v>
      </c>
      <c r="J559">
        <v>5.5</v>
      </c>
      <c r="K559">
        <v>51.403458947314498</v>
      </c>
      <c r="L559" t="s">
        <v>16</v>
      </c>
      <c r="M559" t="str">
        <f>IF(Table2[[#This Row],[Final_Exam_Score]]&gt;= 50,"Pass","Fail")</f>
        <v>Pass</v>
      </c>
    </row>
    <row r="560" spans="1:13" x14ac:dyDescent="0.25">
      <c r="A560" t="s">
        <v>582</v>
      </c>
      <c r="B560" t="s">
        <v>13</v>
      </c>
      <c r="C560" s="2">
        <v>18</v>
      </c>
      <c r="D560">
        <v>6</v>
      </c>
      <c r="E560">
        <v>92.49</v>
      </c>
      <c r="F560" t="s">
        <v>14</v>
      </c>
      <c r="G560" t="s">
        <v>15</v>
      </c>
      <c r="H560" t="s">
        <v>24</v>
      </c>
      <c r="I560">
        <v>72</v>
      </c>
      <c r="J560">
        <v>7.2</v>
      </c>
      <c r="K560">
        <v>40.810169530455603</v>
      </c>
      <c r="L560" t="s">
        <v>16</v>
      </c>
      <c r="M560" t="str">
        <f>IF(Table2[[#This Row],[Final_Exam_Score]]&gt;= 50,"Pass","Fail")</f>
        <v>Fail</v>
      </c>
    </row>
    <row r="561" spans="1:13" x14ac:dyDescent="0.25">
      <c r="A561" t="s">
        <v>583</v>
      </c>
      <c r="B561" t="s">
        <v>13</v>
      </c>
      <c r="C561" s="2">
        <v>16</v>
      </c>
      <c r="D561">
        <v>13</v>
      </c>
      <c r="E561">
        <v>69.81</v>
      </c>
      <c r="F561" t="s">
        <v>14</v>
      </c>
      <c r="G561" t="s">
        <v>15</v>
      </c>
      <c r="H561" t="s">
        <v>16</v>
      </c>
      <c r="I561">
        <v>98</v>
      </c>
      <c r="J561">
        <v>5.9</v>
      </c>
      <c r="K561">
        <v>61.208767469251001</v>
      </c>
      <c r="L561" t="s">
        <v>16</v>
      </c>
      <c r="M561" t="str">
        <f>IF(Table2[[#This Row],[Final_Exam_Score]]&gt;= 50,"Pass","Fail")</f>
        <v>Pass</v>
      </c>
    </row>
    <row r="562" spans="1:13" x14ac:dyDescent="0.25">
      <c r="A562" t="s">
        <v>584</v>
      </c>
      <c r="B562" t="s">
        <v>13</v>
      </c>
      <c r="C562" s="2">
        <v>16</v>
      </c>
      <c r="D562">
        <v>14</v>
      </c>
      <c r="E562">
        <v>67.16</v>
      </c>
      <c r="F562" t="s">
        <v>32</v>
      </c>
      <c r="G562" t="s">
        <v>26</v>
      </c>
      <c r="H562" t="s">
        <v>16</v>
      </c>
      <c r="I562">
        <v>80</v>
      </c>
      <c r="J562">
        <v>8.9</v>
      </c>
      <c r="K562">
        <v>50.949235712010797</v>
      </c>
      <c r="L562" t="s">
        <v>16</v>
      </c>
      <c r="M562" t="str">
        <f>IF(Table2[[#This Row],[Final_Exam_Score]]&gt;= 50,"Pass","Fail")</f>
        <v>Pass</v>
      </c>
    </row>
    <row r="563" spans="1:13" x14ac:dyDescent="0.25">
      <c r="A563" t="s">
        <v>585</v>
      </c>
      <c r="B563" t="s">
        <v>13</v>
      </c>
      <c r="C563" s="2">
        <v>15</v>
      </c>
      <c r="D563">
        <v>12</v>
      </c>
      <c r="E563">
        <v>78.53</v>
      </c>
      <c r="F563" t="s">
        <v>19</v>
      </c>
      <c r="G563" t="s">
        <v>23</v>
      </c>
      <c r="H563" t="s">
        <v>24</v>
      </c>
      <c r="I563">
        <v>64</v>
      </c>
      <c r="J563">
        <v>8.5</v>
      </c>
      <c r="K563">
        <v>42.068831209419699</v>
      </c>
      <c r="L563" t="s">
        <v>16</v>
      </c>
      <c r="M563" t="str">
        <f>IF(Table2[[#This Row],[Final_Exam_Score]]&gt;= 50,"Pass","Fail")</f>
        <v>Fail</v>
      </c>
    </row>
    <row r="564" spans="1:13" x14ac:dyDescent="0.25">
      <c r="A564" t="s">
        <v>586</v>
      </c>
      <c r="B564" t="s">
        <v>13</v>
      </c>
      <c r="C564" s="2">
        <v>21</v>
      </c>
      <c r="D564">
        <v>29</v>
      </c>
      <c r="E564">
        <v>69.540000000000006</v>
      </c>
      <c r="F564" t="s">
        <v>28</v>
      </c>
      <c r="G564" t="s">
        <v>15</v>
      </c>
      <c r="H564" t="s">
        <v>16</v>
      </c>
      <c r="I564">
        <v>86</v>
      </c>
      <c r="J564">
        <v>5.6</v>
      </c>
      <c r="K564">
        <v>66.711915167727099</v>
      </c>
      <c r="L564" t="s">
        <v>24</v>
      </c>
      <c r="M564" t="str">
        <f>IF(Table2[[#This Row],[Final_Exam_Score]]&gt;= 50,"Pass","Fail")</f>
        <v>Pass</v>
      </c>
    </row>
    <row r="565" spans="1:13" x14ac:dyDescent="0.25">
      <c r="A565" t="s">
        <v>587</v>
      </c>
      <c r="B565" t="s">
        <v>13</v>
      </c>
      <c r="C565" s="2">
        <v>17</v>
      </c>
      <c r="D565">
        <v>28</v>
      </c>
      <c r="E565">
        <v>67.78</v>
      </c>
      <c r="F565" t="s">
        <v>22</v>
      </c>
      <c r="G565" t="s">
        <v>26</v>
      </c>
      <c r="H565" t="s">
        <v>16</v>
      </c>
      <c r="I565">
        <v>63</v>
      </c>
      <c r="J565">
        <v>4</v>
      </c>
      <c r="K565">
        <v>45.184162384295497</v>
      </c>
      <c r="L565" t="s">
        <v>24</v>
      </c>
      <c r="M565" t="str">
        <f>IF(Table2[[#This Row],[Final_Exam_Score]]&gt;= 50,"Pass","Fail")</f>
        <v>Fail</v>
      </c>
    </row>
    <row r="566" spans="1:13" x14ac:dyDescent="0.25">
      <c r="A566" t="s">
        <v>588</v>
      </c>
      <c r="B566" t="s">
        <v>18</v>
      </c>
      <c r="C566" s="2">
        <v>17</v>
      </c>
      <c r="D566">
        <v>23</v>
      </c>
      <c r="E566">
        <v>85.61</v>
      </c>
      <c r="F566" t="s">
        <v>19</v>
      </c>
      <c r="G566" t="s">
        <v>26</v>
      </c>
      <c r="H566" t="s">
        <v>24</v>
      </c>
      <c r="I566">
        <v>88</v>
      </c>
      <c r="J566">
        <v>5.5</v>
      </c>
      <c r="K566">
        <v>58.659788283020397</v>
      </c>
      <c r="L566" t="s">
        <v>24</v>
      </c>
      <c r="M566" t="str">
        <f>IF(Table2[[#This Row],[Final_Exam_Score]]&gt;= 50,"Pass","Fail")</f>
        <v>Pass</v>
      </c>
    </row>
    <row r="567" spans="1:13" x14ac:dyDescent="0.25">
      <c r="A567" t="s">
        <v>589</v>
      </c>
      <c r="B567" t="s">
        <v>18</v>
      </c>
      <c r="C567" s="2">
        <v>20</v>
      </c>
      <c r="D567">
        <v>23</v>
      </c>
      <c r="E567">
        <v>71.44</v>
      </c>
      <c r="F567" t="s">
        <v>32</v>
      </c>
      <c r="G567" t="s">
        <v>23</v>
      </c>
      <c r="H567" t="s">
        <v>16</v>
      </c>
      <c r="I567">
        <v>53</v>
      </c>
      <c r="J567">
        <v>6.5</v>
      </c>
      <c r="K567">
        <v>42.465785906001599</v>
      </c>
      <c r="L567" t="s">
        <v>24</v>
      </c>
      <c r="M567" t="str">
        <f>IF(Table2[[#This Row],[Final_Exam_Score]]&gt;= 50,"Pass","Fail")</f>
        <v>Fail</v>
      </c>
    </row>
    <row r="568" spans="1:13" x14ac:dyDescent="0.25">
      <c r="A568" t="s">
        <v>590</v>
      </c>
      <c r="B568" t="s">
        <v>13</v>
      </c>
      <c r="C568" s="2">
        <v>16</v>
      </c>
      <c r="D568">
        <v>4</v>
      </c>
      <c r="E568">
        <v>75.53</v>
      </c>
      <c r="F568" t="s">
        <v>14</v>
      </c>
      <c r="G568" t="s">
        <v>26</v>
      </c>
      <c r="H568" t="s">
        <v>24</v>
      </c>
      <c r="I568">
        <v>51</v>
      </c>
      <c r="J568">
        <v>5.7</v>
      </c>
      <c r="K568">
        <v>40</v>
      </c>
      <c r="L568" t="s">
        <v>16</v>
      </c>
      <c r="M568" t="str">
        <f>IF(Table2[[#This Row],[Final_Exam_Score]]&gt;= 50,"Pass","Fail")</f>
        <v>Fail</v>
      </c>
    </row>
    <row r="569" spans="1:13" x14ac:dyDescent="0.25">
      <c r="A569" t="s">
        <v>591</v>
      </c>
      <c r="B569" t="s">
        <v>18</v>
      </c>
      <c r="C569" s="2">
        <v>18</v>
      </c>
      <c r="D569">
        <v>22</v>
      </c>
      <c r="E569">
        <v>90.52</v>
      </c>
      <c r="F569" t="s">
        <v>19</v>
      </c>
      <c r="G569" t="s">
        <v>23</v>
      </c>
      <c r="H569" t="s">
        <v>24</v>
      </c>
      <c r="I569">
        <v>72</v>
      </c>
      <c r="J569">
        <v>7.3</v>
      </c>
      <c r="K569">
        <v>56.956605230140198</v>
      </c>
      <c r="L569" t="s">
        <v>16</v>
      </c>
      <c r="M569" t="str">
        <f>IF(Table2[[#This Row],[Final_Exam_Score]]&gt;= 50,"Pass","Fail")</f>
        <v>Pass</v>
      </c>
    </row>
    <row r="570" spans="1:13" x14ac:dyDescent="0.25">
      <c r="A570" t="s">
        <v>592</v>
      </c>
      <c r="B570" t="s">
        <v>18</v>
      </c>
      <c r="C570" s="2">
        <v>21</v>
      </c>
      <c r="D570">
        <v>12</v>
      </c>
      <c r="E570">
        <v>68.25</v>
      </c>
      <c r="F570" t="s">
        <v>28</v>
      </c>
      <c r="G570" t="s">
        <v>26</v>
      </c>
      <c r="H570" t="s">
        <v>24</v>
      </c>
      <c r="I570">
        <v>94</v>
      </c>
      <c r="J570">
        <v>5.7</v>
      </c>
      <c r="K570">
        <v>61.6617898382475</v>
      </c>
      <c r="L570" t="s">
        <v>16</v>
      </c>
      <c r="M570" t="str">
        <f>IF(Table2[[#This Row],[Final_Exam_Score]]&gt;= 50,"Pass","Fail")</f>
        <v>Pass</v>
      </c>
    </row>
    <row r="571" spans="1:13" x14ac:dyDescent="0.25">
      <c r="A571" t="s">
        <v>593</v>
      </c>
      <c r="B571" t="s">
        <v>18</v>
      </c>
      <c r="C571" s="2">
        <v>18</v>
      </c>
      <c r="D571">
        <v>29</v>
      </c>
      <c r="E571">
        <v>99.79</v>
      </c>
      <c r="F571" t="s">
        <v>22</v>
      </c>
      <c r="G571" t="s">
        <v>15</v>
      </c>
      <c r="H571" t="s">
        <v>16</v>
      </c>
      <c r="I571">
        <v>56</v>
      </c>
      <c r="J571">
        <v>5.6</v>
      </c>
      <c r="K571">
        <v>48.720231473866299</v>
      </c>
      <c r="L571" t="s">
        <v>24</v>
      </c>
      <c r="M571" t="str">
        <f>IF(Table2[[#This Row],[Final_Exam_Score]]&gt;= 50,"Pass","Fail")</f>
        <v>Fail</v>
      </c>
    </row>
    <row r="572" spans="1:13" x14ac:dyDescent="0.25">
      <c r="A572" t="s">
        <v>594</v>
      </c>
      <c r="B572" t="s">
        <v>18</v>
      </c>
      <c r="C572" s="2">
        <v>21</v>
      </c>
      <c r="D572">
        <v>18</v>
      </c>
      <c r="E572">
        <v>75.81</v>
      </c>
      <c r="F572" t="s">
        <v>32</v>
      </c>
      <c r="G572" t="s">
        <v>26</v>
      </c>
      <c r="H572" t="s">
        <v>24</v>
      </c>
      <c r="I572">
        <v>62</v>
      </c>
      <c r="J572">
        <v>8.5</v>
      </c>
      <c r="K572">
        <v>45.132660470276299</v>
      </c>
      <c r="L572" t="s">
        <v>24</v>
      </c>
      <c r="M572" t="str">
        <f>IF(Table2[[#This Row],[Final_Exam_Score]]&gt;= 50,"Pass","Fail")</f>
        <v>Fail</v>
      </c>
    </row>
    <row r="573" spans="1:13" x14ac:dyDescent="0.25">
      <c r="A573" t="s">
        <v>595</v>
      </c>
      <c r="B573" t="s">
        <v>18</v>
      </c>
      <c r="C573" s="2">
        <v>20</v>
      </c>
      <c r="D573">
        <v>11</v>
      </c>
      <c r="E573">
        <v>84.1</v>
      </c>
      <c r="F573" t="s">
        <v>19</v>
      </c>
      <c r="G573" t="s">
        <v>26</v>
      </c>
      <c r="H573" t="s">
        <v>24</v>
      </c>
      <c r="I573">
        <v>97</v>
      </c>
      <c r="J573">
        <v>5.5</v>
      </c>
      <c r="K573">
        <v>57.422006206133197</v>
      </c>
      <c r="L573" t="s">
        <v>24</v>
      </c>
      <c r="M573" t="str">
        <f>IF(Table2[[#This Row],[Final_Exam_Score]]&gt;= 50,"Pass","Fail")</f>
        <v>Pass</v>
      </c>
    </row>
    <row r="574" spans="1:13" x14ac:dyDescent="0.25">
      <c r="A574" t="s">
        <v>596</v>
      </c>
      <c r="B574" t="s">
        <v>13</v>
      </c>
      <c r="C574" s="2">
        <v>18</v>
      </c>
      <c r="D574">
        <v>16</v>
      </c>
      <c r="E574">
        <v>92.71</v>
      </c>
      <c r="F574" t="s">
        <v>19</v>
      </c>
      <c r="G574" t="s">
        <v>15</v>
      </c>
      <c r="H574" t="s">
        <v>16</v>
      </c>
      <c r="I574">
        <v>90</v>
      </c>
      <c r="J574">
        <v>7</v>
      </c>
      <c r="K574">
        <v>52.697558322426197</v>
      </c>
      <c r="L574" t="s">
        <v>16</v>
      </c>
      <c r="M574" t="str">
        <f>IF(Table2[[#This Row],[Final_Exam_Score]]&gt;= 50,"Pass","Fail")</f>
        <v>Pass</v>
      </c>
    </row>
    <row r="575" spans="1:13" x14ac:dyDescent="0.25">
      <c r="A575" t="s">
        <v>597</v>
      </c>
      <c r="B575" t="s">
        <v>13</v>
      </c>
      <c r="C575" s="2">
        <v>19</v>
      </c>
      <c r="D575">
        <v>18</v>
      </c>
      <c r="E575">
        <v>73.3</v>
      </c>
      <c r="F575" t="s">
        <v>19</v>
      </c>
      <c r="G575" t="s">
        <v>26</v>
      </c>
      <c r="H575" t="s">
        <v>24</v>
      </c>
      <c r="I575">
        <v>86</v>
      </c>
      <c r="J575">
        <v>6.6</v>
      </c>
      <c r="K575">
        <v>52.813825233874098</v>
      </c>
      <c r="L575" t="s">
        <v>24</v>
      </c>
      <c r="M575" t="str">
        <f>IF(Table2[[#This Row],[Final_Exam_Score]]&gt;= 50,"Pass","Fail")</f>
        <v>Pass</v>
      </c>
    </row>
    <row r="576" spans="1:13" x14ac:dyDescent="0.25">
      <c r="A576" t="s">
        <v>598</v>
      </c>
      <c r="B576" t="s">
        <v>18</v>
      </c>
      <c r="C576" s="2">
        <v>15</v>
      </c>
      <c r="D576">
        <v>13</v>
      </c>
      <c r="E576">
        <v>76.94</v>
      </c>
      <c r="F576" t="s">
        <v>19</v>
      </c>
      <c r="G576" t="s">
        <v>15</v>
      </c>
      <c r="H576" t="s">
        <v>16</v>
      </c>
      <c r="I576">
        <v>91</v>
      </c>
      <c r="J576">
        <v>5.3</v>
      </c>
      <c r="K576">
        <v>57.351695195846702</v>
      </c>
      <c r="L576" t="s">
        <v>24</v>
      </c>
      <c r="M576" t="str">
        <f>IF(Table2[[#This Row],[Final_Exam_Score]]&gt;= 50,"Pass","Fail")</f>
        <v>Pass</v>
      </c>
    </row>
    <row r="577" spans="1:13" x14ac:dyDescent="0.25">
      <c r="A577" t="s">
        <v>599</v>
      </c>
      <c r="B577" t="s">
        <v>13</v>
      </c>
      <c r="C577" s="2">
        <v>16</v>
      </c>
      <c r="D577">
        <v>5</v>
      </c>
      <c r="E577">
        <v>72.22</v>
      </c>
      <c r="F577" t="s">
        <v>14</v>
      </c>
      <c r="G577" t="s">
        <v>23</v>
      </c>
      <c r="H577" t="s">
        <v>24</v>
      </c>
      <c r="I577">
        <v>90</v>
      </c>
      <c r="J577">
        <v>4.7</v>
      </c>
      <c r="K577">
        <v>52.5169697202629</v>
      </c>
      <c r="L577" t="s">
        <v>16</v>
      </c>
      <c r="M577" t="str">
        <f>IF(Table2[[#This Row],[Final_Exam_Score]]&gt;= 50,"Pass","Fail")</f>
        <v>Pass</v>
      </c>
    </row>
    <row r="578" spans="1:13" x14ac:dyDescent="0.25">
      <c r="A578" t="s">
        <v>600</v>
      </c>
      <c r="B578" t="s">
        <v>13</v>
      </c>
      <c r="C578" s="2">
        <v>21</v>
      </c>
      <c r="D578">
        <v>8</v>
      </c>
      <c r="E578">
        <v>78.25</v>
      </c>
      <c r="F578" t="s">
        <v>19</v>
      </c>
      <c r="G578" t="s">
        <v>26</v>
      </c>
      <c r="H578" t="s">
        <v>16</v>
      </c>
      <c r="I578">
        <v>69</v>
      </c>
      <c r="J578">
        <v>5.8</v>
      </c>
      <c r="K578">
        <v>52.790390818493897</v>
      </c>
      <c r="L578" t="s">
        <v>16</v>
      </c>
      <c r="M578" t="str">
        <f>IF(Table2[[#This Row],[Final_Exam_Score]]&gt;= 50,"Pass","Fail")</f>
        <v>Pass</v>
      </c>
    </row>
    <row r="579" spans="1:13" x14ac:dyDescent="0.25">
      <c r="A579" t="s">
        <v>601</v>
      </c>
      <c r="B579" t="s">
        <v>18</v>
      </c>
      <c r="C579" s="2">
        <v>21</v>
      </c>
      <c r="D579">
        <v>25</v>
      </c>
      <c r="E579">
        <v>90.72</v>
      </c>
      <c r="F579" t="s">
        <v>14</v>
      </c>
      <c r="G579" t="s">
        <v>15</v>
      </c>
      <c r="H579" t="s">
        <v>24</v>
      </c>
      <c r="I579">
        <v>60</v>
      </c>
      <c r="J579">
        <v>5.6</v>
      </c>
      <c r="K579">
        <v>50.637436791310698</v>
      </c>
      <c r="L579" t="s">
        <v>16</v>
      </c>
      <c r="M579" t="str">
        <f>IF(Table2[[#This Row],[Final_Exam_Score]]&gt;= 50,"Pass","Fail")</f>
        <v>Pass</v>
      </c>
    </row>
    <row r="580" spans="1:13" x14ac:dyDescent="0.25">
      <c r="A580" t="s">
        <v>602</v>
      </c>
      <c r="B580" t="s">
        <v>18</v>
      </c>
      <c r="C580" s="2">
        <v>21</v>
      </c>
      <c r="D580">
        <v>14</v>
      </c>
      <c r="E580">
        <v>90</v>
      </c>
      <c r="F580" t="s">
        <v>32</v>
      </c>
      <c r="G580" t="s">
        <v>15</v>
      </c>
      <c r="H580" t="s">
        <v>16</v>
      </c>
      <c r="I580">
        <v>75</v>
      </c>
      <c r="J580">
        <v>5.8</v>
      </c>
      <c r="K580">
        <v>47.246985300957498</v>
      </c>
      <c r="L580" t="s">
        <v>16</v>
      </c>
      <c r="M580" t="str">
        <f>IF(Table2[[#This Row],[Final_Exam_Score]]&gt;= 50,"Pass","Fail")</f>
        <v>Fail</v>
      </c>
    </row>
    <row r="581" spans="1:13" x14ac:dyDescent="0.25">
      <c r="A581" t="s">
        <v>603</v>
      </c>
      <c r="B581" t="s">
        <v>13</v>
      </c>
      <c r="C581" s="2">
        <v>19</v>
      </c>
      <c r="D581">
        <v>25</v>
      </c>
      <c r="E581">
        <v>71.37</v>
      </c>
      <c r="F581" t="s">
        <v>32</v>
      </c>
      <c r="G581" t="s">
        <v>15</v>
      </c>
      <c r="H581" t="s">
        <v>16</v>
      </c>
      <c r="I581">
        <v>83</v>
      </c>
      <c r="J581">
        <v>8.1</v>
      </c>
      <c r="K581">
        <v>52.396229206344799</v>
      </c>
      <c r="L581" t="s">
        <v>16</v>
      </c>
      <c r="M581" t="str">
        <f>IF(Table2[[#This Row],[Final_Exam_Score]]&gt;= 50,"Pass","Fail")</f>
        <v>Pass</v>
      </c>
    </row>
    <row r="582" spans="1:13" x14ac:dyDescent="0.25">
      <c r="A582" t="s">
        <v>604</v>
      </c>
      <c r="B582" t="s">
        <v>13</v>
      </c>
      <c r="C582" s="2">
        <v>17</v>
      </c>
      <c r="D582">
        <v>15</v>
      </c>
      <c r="E582">
        <v>81.69</v>
      </c>
      <c r="F582" t="s">
        <v>19</v>
      </c>
      <c r="G582" t="s">
        <v>15</v>
      </c>
      <c r="H582" t="s">
        <v>16</v>
      </c>
      <c r="I582">
        <v>97</v>
      </c>
      <c r="J582">
        <v>6.7</v>
      </c>
      <c r="K582">
        <v>55.5559533607506</v>
      </c>
      <c r="L582" t="s">
        <v>24</v>
      </c>
      <c r="M582" t="str">
        <f>IF(Table2[[#This Row],[Final_Exam_Score]]&gt;= 50,"Pass","Fail")</f>
        <v>Pass</v>
      </c>
    </row>
    <row r="583" spans="1:13" x14ac:dyDescent="0.25">
      <c r="A583" t="s">
        <v>605</v>
      </c>
      <c r="B583" t="s">
        <v>18</v>
      </c>
      <c r="C583" s="2">
        <v>15</v>
      </c>
      <c r="D583">
        <v>25</v>
      </c>
      <c r="E583">
        <v>89.09</v>
      </c>
      <c r="F583" t="s">
        <v>14</v>
      </c>
      <c r="G583" t="s">
        <v>23</v>
      </c>
      <c r="H583" t="s">
        <v>16</v>
      </c>
      <c r="I583">
        <v>69</v>
      </c>
      <c r="J583">
        <v>8.9</v>
      </c>
      <c r="K583">
        <v>49.914025256946303</v>
      </c>
      <c r="L583" t="s">
        <v>24</v>
      </c>
      <c r="M583" t="str">
        <f>IF(Table2[[#This Row],[Final_Exam_Score]]&gt;= 50,"Pass","Fail")</f>
        <v>Fail</v>
      </c>
    </row>
    <row r="584" spans="1:13" x14ac:dyDescent="0.25">
      <c r="A584" t="s">
        <v>606</v>
      </c>
      <c r="B584" t="s">
        <v>18</v>
      </c>
      <c r="C584" s="2">
        <v>15</v>
      </c>
      <c r="D584">
        <v>27</v>
      </c>
      <c r="E584">
        <v>90.84</v>
      </c>
      <c r="F584" t="s">
        <v>14</v>
      </c>
      <c r="G584" t="s">
        <v>15</v>
      </c>
      <c r="H584" t="s">
        <v>16</v>
      </c>
      <c r="I584">
        <v>52</v>
      </c>
      <c r="J584">
        <v>5.5</v>
      </c>
      <c r="K584">
        <v>46.626097613504498</v>
      </c>
      <c r="L584" t="s">
        <v>16</v>
      </c>
      <c r="M584" t="str">
        <f>IF(Table2[[#This Row],[Final_Exam_Score]]&gt;= 50,"Pass","Fail")</f>
        <v>Fail</v>
      </c>
    </row>
    <row r="585" spans="1:13" x14ac:dyDescent="0.25">
      <c r="A585" t="s">
        <v>607</v>
      </c>
      <c r="B585" t="s">
        <v>18</v>
      </c>
      <c r="C585" s="2">
        <v>18</v>
      </c>
      <c r="D585">
        <v>12</v>
      </c>
      <c r="E585">
        <v>87.26</v>
      </c>
      <c r="F585" t="s">
        <v>14</v>
      </c>
      <c r="G585" t="s">
        <v>23</v>
      </c>
      <c r="H585" t="s">
        <v>16</v>
      </c>
      <c r="I585">
        <v>79</v>
      </c>
      <c r="J585">
        <v>5.2</v>
      </c>
      <c r="K585">
        <v>56.4637822529359</v>
      </c>
      <c r="L585" t="s">
        <v>24</v>
      </c>
      <c r="M585" t="str">
        <f>IF(Table2[[#This Row],[Final_Exam_Score]]&gt;= 50,"Pass","Fail")</f>
        <v>Pass</v>
      </c>
    </row>
    <row r="586" spans="1:13" x14ac:dyDescent="0.25">
      <c r="A586" t="s">
        <v>608</v>
      </c>
      <c r="B586" t="s">
        <v>18</v>
      </c>
      <c r="C586" s="2">
        <v>21</v>
      </c>
      <c r="D586">
        <v>4</v>
      </c>
      <c r="E586">
        <v>71.819999999999993</v>
      </c>
      <c r="F586" t="s">
        <v>32</v>
      </c>
      <c r="G586" t="s">
        <v>15</v>
      </c>
      <c r="H586" t="s">
        <v>16</v>
      </c>
      <c r="I586">
        <v>65</v>
      </c>
      <c r="J586">
        <v>4.2</v>
      </c>
      <c r="K586">
        <v>45.883709301603602</v>
      </c>
      <c r="L586" t="s">
        <v>16</v>
      </c>
      <c r="M586" t="str">
        <f>IF(Table2[[#This Row],[Final_Exam_Score]]&gt;= 50,"Pass","Fail")</f>
        <v>Fail</v>
      </c>
    </row>
    <row r="587" spans="1:13" x14ac:dyDescent="0.25">
      <c r="A587" t="s">
        <v>609</v>
      </c>
      <c r="B587" t="s">
        <v>18</v>
      </c>
      <c r="C587" s="2">
        <v>17</v>
      </c>
      <c r="D587">
        <v>12</v>
      </c>
      <c r="E587">
        <v>95.38</v>
      </c>
      <c r="F587" t="s">
        <v>32</v>
      </c>
      <c r="G587" t="s">
        <v>23</v>
      </c>
      <c r="H587" t="s">
        <v>16</v>
      </c>
      <c r="I587">
        <v>57</v>
      </c>
      <c r="J587">
        <v>8.3000000000000007</v>
      </c>
      <c r="K587">
        <v>40.910958241870702</v>
      </c>
      <c r="L587" t="s">
        <v>16</v>
      </c>
      <c r="M587" t="str">
        <f>IF(Table2[[#This Row],[Final_Exam_Score]]&gt;= 50,"Pass","Fail")</f>
        <v>Fail</v>
      </c>
    </row>
    <row r="588" spans="1:13" x14ac:dyDescent="0.25">
      <c r="A588" t="s">
        <v>610</v>
      </c>
      <c r="B588" t="s">
        <v>13</v>
      </c>
      <c r="C588" s="2">
        <v>19</v>
      </c>
      <c r="D588">
        <v>16</v>
      </c>
      <c r="E588">
        <v>75.099999999999994</v>
      </c>
      <c r="F588" t="s">
        <v>22</v>
      </c>
      <c r="G588" t="s">
        <v>23</v>
      </c>
      <c r="H588" t="s">
        <v>16</v>
      </c>
      <c r="I588">
        <v>65</v>
      </c>
      <c r="J588">
        <v>6.4</v>
      </c>
      <c r="K588">
        <v>47.922181639638303</v>
      </c>
      <c r="L588" t="s">
        <v>24</v>
      </c>
      <c r="M588" t="str">
        <f>IF(Table2[[#This Row],[Final_Exam_Score]]&gt;= 50,"Pass","Fail")</f>
        <v>Fail</v>
      </c>
    </row>
    <row r="589" spans="1:13" x14ac:dyDescent="0.25">
      <c r="A589" t="s">
        <v>611</v>
      </c>
      <c r="B589" t="s">
        <v>13</v>
      </c>
      <c r="C589" s="2">
        <v>16</v>
      </c>
      <c r="D589">
        <v>15</v>
      </c>
      <c r="E589">
        <v>77.95</v>
      </c>
      <c r="F589" t="s">
        <v>32</v>
      </c>
      <c r="G589" t="s">
        <v>15</v>
      </c>
      <c r="H589" t="s">
        <v>16</v>
      </c>
      <c r="I589">
        <v>93</v>
      </c>
      <c r="J589">
        <v>5.5</v>
      </c>
      <c r="K589">
        <v>56.9485839623039</v>
      </c>
      <c r="L589" t="s">
        <v>24</v>
      </c>
      <c r="M589" t="str">
        <f>IF(Table2[[#This Row],[Final_Exam_Score]]&gt;= 50,"Pass","Fail")</f>
        <v>Pass</v>
      </c>
    </row>
    <row r="590" spans="1:13" x14ac:dyDescent="0.25">
      <c r="A590" t="s">
        <v>612</v>
      </c>
      <c r="B590" t="s">
        <v>13</v>
      </c>
      <c r="C590" s="2">
        <v>15</v>
      </c>
      <c r="D590">
        <v>19</v>
      </c>
      <c r="E590">
        <v>84.55</v>
      </c>
      <c r="F590" t="s">
        <v>28</v>
      </c>
      <c r="G590" t="s">
        <v>26</v>
      </c>
      <c r="H590" t="s">
        <v>24</v>
      </c>
      <c r="I590">
        <v>66</v>
      </c>
      <c r="J590">
        <v>4.0999999999999996</v>
      </c>
      <c r="K590">
        <v>47.253879643878101</v>
      </c>
      <c r="L590" t="s">
        <v>16</v>
      </c>
      <c r="M590" t="str">
        <f>IF(Table2[[#This Row],[Final_Exam_Score]]&gt;= 50,"Pass","Fail")</f>
        <v>Fail</v>
      </c>
    </row>
    <row r="591" spans="1:13" x14ac:dyDescent="0.25">
      <c r="A591" t="s">
        <v>613</v>
      </c>
      <c r="B591" t="s">
        <v>18</v>
      </c>
      <c r="C591" s="2">
        <v>19</v>
      </c>
      <c r="D591">
        <v>7</v>
      </c>
      <c r="E591">
        <v>95.08</v>
      </c>
      <c r="F591" t="s">
        <v>19</v>
      </c>
      <c r="G591" t="s">
        <v>15</v>
      </c>
      <c r="H591" t="s">
        <v>16</v>
      </c>
      <c r="I591">
        <v>84</v>
      </c>
      <c r="J591">
        <v>7.1</v>
      </c>
      <c r="K591">
        <v>51.376385889613303</v>
      </c>
      <c r="L591" t="s">
        <v>24</v>
      </c>
      <c r="M591" t="str">
        <f>IF(Table2[[#This Row],[Final_Exam_Score]]&gt;= 50,"Pass","Fail")</f>
        <v>Pass</v>
      </c>
    </row>
    <row r="592" spans="1:13" x14ac:dyDescent="0.25">
      <c r="A592" t="s">
        <v>614</v>
      </c>
      <c r="B592" t="s">
        <v>18</v>
      </c>
      <c r="C592" s="2">
        <v>18</v>
      </c>
      <c r="D592">
        <v>21</v>
      </c>
      <c r="E592">
        <v>87.74</v>
      </c>
      <c r="F592" t="s">
        <v>19</v>
      </c>
      <c r="G592" t="s">
        <v>15</v>
      </c>
      <c r="H592" t="s">
        <v>24</v>
      </c>
      <c r="I592">
        <v>50</v>
      </c>
      <c r="J592">
        <v>5.5</v>
      </c>
      <c r="K592">
        <v>40.169603550952701</v>
      </c>
      <c r="L592" t="s">
        <v>24</v>
      </c>
      <c r="M592" t="str">
        <f>IF(Table2[[#This Row],[Final_Exam_Score]]&gt;= 50,"Pass","Fail")</f>
        <v>Fail</v>
      </c>
    </row>
    <row r="593" spans="1:13" x14ac:dyDescent="0.25">
      <c r="A593" t="s">
        <v>615</v>
      </c>
      <c r="B593" t="s">
        <v>18</v>
      </c>
      <c r="C593" s="2">
        <v>17</v>
      </c>
      <c r="D593">
        <v>2</v>
      </c>
      <c r="E593">
        <v>89.56</v>
      </c>
      <c r="F593" t="s">
        <v>32</v>
      </c>
      <c r="G593" t="s">
        <v>15</v>
      </c>
      <c r="H593" t="s">
        <v>16</v>
      </c>
      <c r="I593">
        <v>89</v>
      </c>
      <c r="J593">
        <v>7.3</v>
      </c>
      <c r="K593">
        <v>51.452852440268302</v>
      </c>
      <c r="L593" t="s">
        <v>16</v>
      </c>
      <c r="M593" t="str">
        <f>IF(Table2[[#This Row],[Final_Exam_Score]]&gt;= 50,"Pass","Fail")</f>
        <v>Pass</v>
      </c>
    </row>
    <row r="594" spans="1:13" x14ac:dyDescent="0.25">
      <c r="A594" t="s">
        <v>616</v>
      </c>
      <c r="B594" t="s">
        <v>18</v>
      </c>
      <c r="C594" s="2">
        <v>15</v>
      </c>
      <c r="D594">
        <v>18</v>
      </c>
      <c r="E594">
        <v>72.569999999999993</v>
      </c>
      <c r="F594" t="s">
        <v>14</v>
      </c>
      <c r="G594" t="s">
        <v>15</v>
      </c>
      <c r="H594" t="s">
        <v>16</v>
      </c>
      <c r="I594">
        <v>90</v>
      </c>
      <c r="J594">
        <v>4.5999999999999996</v>
      </c>
      <c r="K594">
        <v>61.131552892366997</v>
      </c>
      <c r="L594" t="s">
        <v>24</v>
      </c>
      <c r="M594" t="str">
        <f>IF(Table2[[#This Row],[Final_Exam_Score]]&gt;= 50,"Pass","Fail")</f>
        <v>Pass</v>
      </c>
    </row>
    <row r="595" spans="1:13" x14ac:dyDescent="0.25">
      <c r="A595" t="s">
        <v>617</v>
      </c>
      <c r="B595" t="s">
        <v>18</v>
      </c>
      <c r="C595" s="2">
        <v>19</v>
      </c>
      <c r="D595">
        <v>18</v>
      </c>
      <c r="E595">
        <v>77.34</v>
      </c>
      <c r="F595" t="s">
        <v>19</v>
      </c>
      <c r="G595" t="s">
        <v>15</v>
      </c>
      <c r="H595" t="s">
        <v>16</v>
      </c>
      <c r="I595">
        <v>91</v>
      </c>
      <c r="J595">
        <v>6.6</v>
      </c>
      <c r="K595">
        <v>61.970290692819098</v>
      </c>
      <c r="L595" t="s">
        <v>16</v>
      </c>
      <c r="M595" t="str">
        <f>IF(Table2[[#This Row],[Final_Exam_Score]]&gt;= 50,"Pass","Fail")</f>
        <v>Pass</v>
      </c>
    </row>
    <row r="596" spans="1:13" x14ac:dyDescent="0.25">
      <c r="A596" t="s">
        <v>618</v>
      </c>
      <c r="B596" t="s">
        <v>18</v>
      </c>
      <c r="C596" s="2">
        <v>20</v>
      </c>
      <c r="D596">
        <v>9</v>
      </c>
      <c r="E596">
        <v>69.790000000000006</v>
      </c>
      <c r="F596" t="s">
        <v>32</v>
      </c>
      <c r="G596" t="s">
        <v>26</v>
      </c>
      <c r="H596" t="s">
        <v>24</v>
      </c>
      <c r="I596">
        <v>65</v>
      </c>
      <c r="J596">
        <v>4.7</v>
      </c>
      <c r="K596">
        <v>46.807005084727102</v>
      </c>
      <c r="L596" t="s">
        <v>24</v>
      </c>
      <c r="M596" t="str">
        <f>IF(Table2[[#This Row],[Final_Exam_Score]]&gt;= 50,"Pass","Fail")</f>
        <v>Fail</v>
      </c>
    </row>
    <row r="597" spans="1:13" x14ac:dyDescent="0.25">
      <c r="A597" t="s">
        <v>619</v>
      </c>
      <c r="B597" t="s">
        <v>18</v>
      </c>
      <c r="C597" s="2">
        <v>15</v>
      </c>
      <c r="D597">
        <v>19</v>
      </c>
      <c r="E597">
        <v>90.79</v>
      </c>
      <c r="F597" t="s">
        <v>22</v>
      </c>
      <c r="G597" t="s">
        <v>26</v>
      </c>
      <c r="H597" t="s">
        <v>16</v>
      </c>
      <c r="I597">
        <v>50</v>
      </c>
      <c r="J597">
        <v>7.3</v>
      </c>
      <c r="K597">
        <v>40</v>
      </c>
      <c r="L597" t="s">
        <v>24</v>
      </c>
      <c r="M597" t="str">
        <f>IF(Table2[[#This Row],[Final_Exam_Score]]&gt;= 50,"Pass","Fail")</f>
        <v>Fail</v>
      </c>
    </row>
    <row r="598" spans="1:13" x14ac:dyDescent="0.25">
      <c r="A598" t="s">
        <v>620</v>
      </c>
      <c r="B598" t="s">
        <v>13</v>
      </c>
      <c r="C598" s="2">
        <v>15</v>
      </c>
      <c r="D598">
        <v>13</v>
      </c>
      <c r="E598">
        <v>98.21</v>
      </c>
      <c r="F598" t="s">
        <v>28</v>
      </c>
      <c r="G598" t="s">
        <v>26</v>
      </c>
      <c r="H598" t="s">
        <v>24</v>
      </c>
      <c r="I598">
        <v>85</v>
      </c>
      <c r="J598">
        <v>7.7</v>
      </c>
      <c r="K598">
        <v>63.760029263941902</v>
      </c>
      <c r="L598" t="s">
        <v>16</v>
      </c>
      <c r="M598" t="str">
        <f>IF(Table2[[#This Row],[Final_Exam_Score]]&gt;= 50,"Pass","Fail")</f>
        <v>Pass</v>
      </c>
    </row>
    <row r="599" spans="1:13" x14ac:dyDescent="0.25">
      <c r="A599" t="s">
        <v>621</v>
      </c>
      <c r="B599" t="s">
        <v>13</v>
      </c>
      <c r="C599" s="2">
        <v>15</v>
      </c>
      <c r="D599">
        <v>16</v>
      </c>
      <c r="E599">
        <v>90.72</v>
      </c>
      <c r="F599" t="s">
        <v>28</v>
      </c>
      <c r="G599" t="s">
        <v>15</v>
      </c>
      <c r="H599" t="s">
        <v>16</v>
      </c>
      <c r="I599">
        <v>87</v>
      </c>
      <c r="J599">
        <v>8</v>
      </c>
      <c r="K599">
        <v>59.262599776039103</v>
      </c>
      <c r="L599" t="s">
        <v>16</v>
      </c>
      <c r="M599" t="str">
        <f>IF(Table2[[#This Row],[Final_Exam_Score]]&gt;= 50,"Pass","Fail")</f>
        <v>Pass</v>
      </c>
    </row>
    <row r="600" spans="1:13" x14ac:dyDescent="0.25">
      <c r="A600" t="s">
        <v>622</v>
      </c>
      <c r="B600" t="s">
        <v>13</v>
      </c>
      <c r="C600" s="2">
        <v>16</v>
      </c>
      <c r="D600">
        <v>5</v>
      </c>
      <c r="E600">
        <v>69.36</v>
      </c>
      <c r="F600" t="s">
        <v>22</v>
      </c>
      <c r="G600" t="s">
        <v>23</v>
      </c>
      <c r="H600" t="s">
        <v>16</v>
      </c>
      <c r="I600">
        <v>70</v>
      </c>
      <c r="J600">
        <v>8</v>
      </c>
      <c r="K600">
        <v>47.701561106777703</v>
      </c>
      <c r="L600" t="s">
        <v>16</v>
      </c>
      <c r="M600" t="str">
        <f>IF(Table2[[#This Row],[Final_Exam_Score]]&gt;= 50,"Pass","Fail")</f>
        <v>Fail</v>
      </c>
    </row>
    <row r="601" spans="1:13" x14ac:dyDescent="0.25">
      <c r="A601" t="s">
        <v>623</v>
      </c>
      <c r="B601" t="s">
        <v>18</v>
      </c>
      <c r="C601" s="2">
        <v>21</v>
      </c>
      <c r="D601">
        <v>5</v>
      </c>
      <c r="E601">
        <v>89.27</v>
      </c>
      <c r="F601" t="s">
        <v>32</v>
      </c>
      <c r="G601" t="s">
        <v>26</v>
      </c>
      <c r="H601" t="s">
        <v>16</v>
      </c>
      <c r="I601">
        <v>49</v>
      </c>
      <c r="J601">
        <v>8.4</v>
      </c>
      <c r="K601">
        <v>40</v>
      </c>
      <c r="L601" t="s">
        <v>16</v>
      </c>
      <c r="M601" t="str">
        <f>IF(Table2[[#This Row],[Final_Exam_Score]]&gt;= 50,"Pass","Fail")</f>
        <v>Fail</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217D1-A4AA-4DC1-8059-101A987ECF9D}">
  <dimension ref="A1:C14"/>
  <sheetViews>
    <sheetView topLeftCell="A7" workbookViewId="0">
      <selection activeCell="A18" sqref="A18"/>
    </sheetView>
  </sheetViews>
  <sheetFormatPr defaultRowHeight="15" x14ac:dyDescent="0.25"/>
  <cols>
    <col min="1" max="1" width="42.5703125" bestFit="1" customWidth="1"/>
    <col min="2" max="3" width="12" bestFit="1" customWidth="1"/>
  </cols>
  <sheetData>
    <row r="1" spans="1:3" x14ac:dyDescent="0.25">
      <c r="A1" t="s">
        <v>657</v>
      </c>
    </row>
    <row r="2" spans="1:3" ht="15.75" thickBot="1" x14ac:dyDescent="0.3"/>
    <row r="3" spans="1:3" x14ac:dyDescent="0.25">
      <c r="A3" s="6"/>
      <c r="B3" s="6" t="s">
        <v>637</v>
      </c>
      <c r="C3" s="6" t="s">
        <v>638</v>
      </c>
    </row>
    <row r="4" spans="1:3" x14ac:dyDescent="0.25">
      <c r="A4" t="s">
        <v>658</v>
      </c>
      <c r="B4">
        <v>51.11910766985423</v>
      </c>
      <c r="C4">
        <v>51.01397316247968</v>
      </c>
    </row>
    <row r="5" spans="1:3" x14ac:dyDescent="0.25">
      <c r="A5" t="s">
        <v>659</v>
      </c>
      <c r="B5">
        <v>68.188397858490788</v>
      </c>
      <c r="C5">
        <v>66.966512247674927</v>
      </c>
    </row>
    <row r="6" spans="1:3" x14ac:dyDescent="0.25">
      <c r="A6" t="s">
        <v>660</v>
      </c>
      <c r="B6">
        <v>286</v>
      </c>
      <c r="C6">
        <v>314</v>
      </c>
    </row>
    <row r="7" spans="1:3" x14ac:dyDescent="0.25">
      <c r="A7" t="s">
        <v>661</v>
      </c>
      <c r="B7">
        <v>67.548849035438337</v>
      </c>
    </row>
    <row r="8" spans="1:3" x14ac:dyDescent="0.25">
      <c r="A8" t="s">
        <v>662</v>
      </c>
      <c r="B8">
        <v>0</v>
      </c>
    </row>
    <row r="9" spans="1:3" x14ac:dyDescent="0.25">
      <c r="A9" t="s">
        <v>663</v>
      </c>
      <c r="B9">
        <v>598</v>
      </c>
    </row>
    <row r="10" spans="1:3" x14ac:dyDescent="0.25">
      <c r="A10" t="s">
        <v>664</v>
      </c>
      <c r="B10">
        <v>0.15649790306443168</v>
      </c>
    </row>
    <row r="11" spans="1:3" x14ac:dyDescent="0.25">
      <c r="A11" t="s">
        <v>665</v>
      </c>
      <c r="B11">
        <v>0.43784669517983532</v>
      </c>
    </row>
    <row r="12" spans="1:3" x14ac:dyDescent="0.25">
      <c r="A12" t="s">
        <v>666</v>
      </c>
      <c r="B12">
        <v>1.6474057119344734</v>
      </c>
    </row>
    <row r="13" spans="1:3" x14ac:dyDescent="0.25">
      <c r="A13" t="s">
        <v>667</v>
      </c>
      <c r="B13">
        <v>0.87569339035967064</v>
      </c>
    </row>
    <row r="14" spans="1:3" ht="15.75" thickBot="1" x14ac:dyDescent="0.3">
      <c r="A14" s="5" t="s">
        <v>668</v>
      </c>
      <c r="B14" s="5">
        <v>1.9639388980555066</v>
      </c>
      <c r="C14"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7D4E5-B47A-473A-8B55-26897C782E5D}">
  <dimension ref="A1:G17"/>
  <sheetViews>
    <sheetView workbookViewId="0">
      <selection activeCell="D11" sqref="D11"/>
    </sheetView>
  </sheetViews>
  <sheetFormatPr defaultRowHeight="15" x14ac:dyDescent="0.25"/>
  <sheetData>
    <row r="1" spans="1:7" x14ac:dyDescent="0.25">
      <c r="A1" t="s">
        <v>674</v>
      </c>
    </row>
    <row r="3" spans="1:7" ht="15.75" thickBot="1" x14ac:dyDescent="0.3">
      <c r="A3" t="s">
        <v>675</v>
      </c>
    </row>
    <row r="4" spans="1:7" x14ac:dyDescent="0.25">
      <c r="A4" s="6" t="s">
        <v>676</v>
      </c>
      <c r="B4" s="6" t="s">
        <v>677</v>
      </c>
      <c r="C4" s="6" t="s">
        <v>678</v>
      </c>
      <c r="D4" s="6" t="s">
        <v>679</v>
      </c>
      <c r="E4" s="6" t="s">
        <v>659</v>
      </c>
    </row>
    <row r="5" spans="1:7" x14ac:dyDescent="0.25">
      <c r="A5">
        <v>55.874396998137797</v>
      </c>
      <c r="B5">
        <v>74</v>
      </c>
      <c r="C5">
        <v>3865.7368409669771</v>
      </c>
      <c r="D5">
        <v>52.239687040094282</v>
      </c>
      <c r="E5">
        <v>66.45176546110082</v>
      </c>
    </row>
    <row r="6" spans="1:7" x14ac:dyDescent="0.25">
      <c r="A6">
        <v>40</v>
      </c>
      <c r="B6">
        <v>58</v>
      </c>
      <c r="C6">
        <v>2922.9980587993409</v>
      </c>
      <c r="D6">
        <v>50.396518255161048</v>
      </c>
      <c r="E6">
        <v>62.035277752355334</v>
      </c>
    </row>
    <row r="7" spans="1:7" x14ac:dyDescent="0.25">
      <c r="A7">
        <v>44.941214596510498</v>
      </c>
      <c r="B7">
        <v>68</v>
      </c>
      <c r="C7">
        <v>3489.4349874512295</v>
      </c>
      <c r="D7">
        <v>51.315220403694553</v>
      </c>
      <c r="E7">
        <v>71.911002982727084</v>
      </c>
    </row>
    <row r="8" spans="1:7" x14ac:dyDescent="0.25">
      <c r="A8">
        <v>45.607991122316903</v>
      </c>
      <c r="B8">
        <v>52</v>
      </c>
      <c r="C8">
        <v>2652.0476584551457</v>
      </c>
      <c r="D8">
        <v>51.000916508752802</v>
      </c>
      <c r="E8">
        <v>66.989802415407937</v>
      </c>
    </row>
    <row r="9" spans="1:7" ht="15.75" thickBot="1" x14ac:dyDescent="0.3">
      <c r="A9" s="5">
        <v>56.086276398989497</v>
      </c>
      <c r="B9" s="5">
        <v>56</v>
      </c>
      <c r="C9" s="5">
        <v>2805.6601482299689</v>
      </c>
      <c r="D9" s="5">
        <v>50.101074075535159</v>
      </c>
      <c r="E9" s="5">
        <v>68.99642949008161</v>
      </c>
    </row>
    <row r="12" spans="1:7" ht="15.75" thickBot="1" x14ac:dyDescent="0.3">
      <c r="A12" t="s">
        <v>680</v>
      </c>
    </row>
    <row r="13" spans="1:7" x14ac:dyDescent="0.25">
      <c r="A13" s="6" t="s">
        <v>681</v>
      </c>
      <c r="B13" s="6" t="s">
        <v>682</v>
      </c>
      <c r="C13" s="6" t="s">
        <v>663</v>
      </c>
      <c r="D13" s="6" t="s">
        <v>683</v>
      </c>
      <c r="E13" s="6" t="s">
        <v>684</v>
      </c>
      <c r="F13" s="6" t="s">
        <v>685</v>
      </c>
      <c r="G13" s="6" t="s">
        <v>686</v>
      </c>
    </row>
    <row r="14" spans="1:7" x14ac:dyDescent="0.25">
      <c r="A14" t="s">
        <v>687</v>
      </c>
      <c r="B14">
        <v>184.33332662055182</v>
      </c>
      <c r="C14">
        <v>4</v>
      </c>
      <c r="D14">
        <v>46.083331655137954</v>
      </c>
      <c r="E14">
        <v>0.68392619332090965</v>
      </c>
      <c r="F14">
        <v>0.60355786435557701</v>
      </c>
      <c r="G14">
        <v>2.4014425355158493</v>
      </c>
    </row>
    <row r="15" spans="1:7" x14ac:dyDescent="0.25">
      <c r="A15" t="s">
        <v>688</v>
      </c>
      <c r="B15">
        <v>20416.310455527484</v>
      </c>
      <c r="C15">
        <v>303</v>
      </c>
      <c r="D15">
        <v>67.380562559496653</v>
      </c>
    </row>
    <row r="17" spans="1:7" ht="15.75" thickBot="1" x14ac:dyDescent="0.3">
      <c r="A17" s="5" t="s">
        <v>636</v>
      </c>
      <c r="B17" s="5">
        <v>20600.643782148036</v>
      </c>
      <c r="C17" s="5">
        <v>307</v>
      </c>
      <c r="D17" s="5"/>
      <c r="E17" s="5"/>
      <c r="F17" s="5"/>
      <c r="G17"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1B6F3-68F8-4EA9-9CEC-514C6695DAFD}">
  <dimension ref="A1:I21"/>
  <sheetViews>
    <sheetView workbookViewId="0">
      <selection activeCell="C18" sqref="C18"/>
    </sheetView>
  </sheetViews>
  <sheetFormatPr defaultRowHeight="15" x14ac:dyDescent="0.25"/>
  <cols>
    <col min="1" max="1" width="18" bestFit="1" customWidth="1"/>
    <col min="2" max="2" width="12.7109375" bestFit="1" customWidth="1"/>
    <col min="3" max="3" width="14.5703125" bestFit="1" customWidth="1"/>
    <col min="4" max="4" width="12.7109375" bestFit="1" customWidth="1"/>
    <col min="5" max="5" width="12" bestFit="1" customWidth="1"/>
    <col min="6" max="6" width="13.42578125" bestFit="1" customWidth="1"/>
    <col min="7" max="7" width="12" bestFit="1" customWidth="1"/>
    <col min="8" max="8" width="12.7109375" bestFit="1" customWidth="1"/>
    <col min="9" max="9" width="12.5703125" bestFit="1" customWidth="1"/>
  </cols>
  <sheetData>
    <row r="1" spans="1:9" x14ac:dyDescent="0.25">
      <c r="A1" t="s">
        <v>689</v>
      </c>
    </row>
    <row r="2" spans="1:9" ht="15.75" thickBot="1" x14ac:dyDescent="0.3"/>
    <row r="3" spans="1:9" x14ac:dyDescent="0.25">
      <c r="A3" s="8" t="s">
        <v>690</v>
      </c>
      <c r="B3" s="8"/>
    </row>
    <row r="4" spans="1:9" x14ac:dyDescent="0.25">
      <c r="A4" t="s">
        <v>691</v>
      </c>
      <c r="B4">
        <v>0.83883576531106929</v>
      </c>
    </row>
    <row r="5" spans="1:9" x14ac:dyDescent="0.25">
      <c r="A5" t="s">
        <v>692</v>
      </c>
      <c r="B5">
        <v>0.70364544116500738</v>
      </c>
    </row>
    <row r="6" spans="1:9" x14ac:dyDescent="0.25">
      <c r="A6" t="s">
        <v>693</v>
      </c>
      <c r="B6">
        <v>0.70165314160981407</v>
      </c>
    </row>
    <row r="7" spans="1:9" x14ac:dyDescent="0.25">
      <c r="A7" t="s">
        <v>694</v>
      </c>
      <c r="B7">
        <v>4.4855508598992273</v>
      </c>
    </row>
    <row r="8" spans="1:9" ht="15.75" thickBot="1" x14ac:dyDescent="0.3">
      <c r="A8" s="5" t="s">
        <v>660</v>
      </c>
      <c r="B8" s="5">
        <v>600</v>
      </c>
    </row>
    <row r="10" spans="1:9" ht="15.75" thickBot="1" x14ac:dyDescent="0.3">
      <c r="A10" t="s">
        <v>680</v>
      </c>
    </row>
    <row r="11" spans="1:9" x14ac:dyDescent="0.25">
      <c r="A11" s="6"/>
      <c r="B11" s="6" t="s">
        <v>663</v>
      </c>
      <c r="C11" s="6" t="s">
        <v>682</v>
      </c>
      <c r="D11" s="6" t="s">
        <v>683</v>
      </c>
      <c r="E11" s="6" t="s">
        <v>684</v>
      </c>
      <c r="F11" s="6" t="s">
        <v>698</v>
      </c>
    </row>
    <row r="12" spans="1:9" x14ac:dyDescent="0.25">
      <c r="A12" t="s">
        <v>695</v>
      </c>
      <c r="B12">
        <v>4</v>
      </c>
      <c r="C12">
        <v>28424.367024694198</v>
      </c>
      <c r="D12">
        <v>7106.0917561735496</v>
      </c>
      <c r="E12">
        <v>353.18255195653177</v>
      </c>
      <c r="F12">
        <v>1.5376774316836152E-155</v>
      </c>
    </row>
    <row r="13" spans="1:9" x14ac:dyDescent="0.25">
      <c r="A13" t="s">
        <v>696</v>
      </c>
      <c r="B13">
        <v>595</v>
      </c>
      <c r="C13">
        <v>11971.499077461905</v>
      </c>
      <c r="D13">
        <v>20.1201665167427</v>
      </c>
    </row>
    <row r="14" spans="1:9" ht="15.75" thickBot="1" x14ac:dyDescent="0.3">
      <c r="A14" s="5" t="s">
        <v>636</v>
      </c>
      <c r="B14" s="5">
        <v>599</v>
      </c>
      <c r="C14" s="5">
        <v>40395.866102156106</v>
      </c>
      <c r="D14" s="5"/>
      <c r="E14" s="5"/>
      <c r="F14" s="5"/>
    </row>
    <row r="15" spans="1:9" ht="15.75" thickBot="1" x14ac:dyDescent="0.3"/>
    <row r="16" spans="1:9" x14ac:dyDescent="0.25">
      <c r="A16" s="6"/>
      <c r="B16" s="6" t="s">
        <v>699</v>
      </c>
      <c r="C16" s="6" t="s">
        <v>694</v>
      </c>
      <c r="D16" s="6" t="s">
        <v>664</v>
      </c>
      <c r="E16" s="6" t="s">
        <v>685</v>
      </c>
      <c r="F16" s="6" t="s">
        <v>700</v>
      </c>
      <c r="G16" s="6" t="s">
        <v>701</v>
      </c>
      <c r="H16" s="6" t="s">
        <v>702</v>
      </c>
      <c r="I16" s="6" t="s">
        <v>703</v>
      </c>
    </row>
    <row r="17" spans="1:9" x14ac:dyDescent="0.25">
      <c r="A17" t="s">
        <v>697</v>
      </c>
      <c r="B17">
        <v>2.863241348766099</v>
      </c>
      <c r="C17">
        <v>1.8517232469522202</v>
      </c>
      <c r="D17">
        <v>1.5462577107452489</v>
      </c>
      <c r="E17">
        <v>0.12257402762741651</v>
      </c>
      <c r="F17">
        <v>-0.7734671501053163</v>
      </c>
      <c r="G17">
        <v>6.4999498476375148</v>
      </c>
      <c r="H17">
        <v>-0.7734671501053163</v>
      </c>
      <c r="I17">
        <v>6.4999498476375148</v>
      </c>
    </row>
    <row r="18" spans="1:9" x14ac:dyDescent="0.25">
      <c r="A18" t="s">
        <v>710</v>
      </c>
      <c r="B18">
        <v>-2.7670561953260019E-2</v>
      </c>
      <c r="C18">
        <v>0.13107736244978055</v>
      </c>
      <c r="D18">
        <v>-0.21110099742708352</v>
      </c>
      <c r="E18">
        <v>0.83288074174399507</v>
      </c>
      <c r="F18">
        <v>-0.28510112497900242</v>
      </c>
      <c r="G18">
        <v>0.2297600010724824</v>
      </c>
      <c r="H18">
        <v>-0.28510112497900242</v>
      </c>
      <c r="I18">
        <v>0.2297600010724824</v>
      </c>
    </row>
    <row r="19" spans="1:9" x14ac:dyDescent="0.25">
      <c r="A19" t="s">
        <v>711</v>
      </c>
      <c r="B19">
        <v>0.37666886030789065</v>
      </c>
      <c r="C19">
        <v>1.1475527619493549E-2</v>
      </c>
      <c r="D19">
        <v>32.823663782399073</v>
      </c>
      <c r="E19">
        <v>1.2168263825508122E-135</v>
      </c>
      <c r="F19">
        <v>0.35413139479216899</v>
      </c>
      <c r="G19">
        <v>0.39920632582361232</v>
      </c>
      <c r="H19">
        <v>0.35413139479216899</v>
      </c>
      <c r="I19">
        <v>0.39920632582361232</v>
      </c>
    </row>
    <row r="20" spans="1:9" x14ac:dyDescent="0.25">
      <c r="A20" t="s">
        <v>709</v>
      </c>
      <c r="B20">
        <v>0.28099712124853365</v>
      </c>
      <c r="C20">
        <v>2.2350564327258522E-2</v>
      </c>
      <c r="D20">
        <v>12.572260688104077</v>
      </c>
      <c r="E20">
        <v>2.5852542249222903E-32</v>
      </c>
      <c r="F20">
        <v>0.23710152973544041</v>
      </c>
      <c r="G20">
        <v>0.3248927127616269</v>
      </c>
      <c r="H20">
        <v>0.23710152973544041</v>
      </c>
      <c r="I20">
        <v>0.3248927127616269</v>
      </c>
    </row>
    <row r="21" spans="1:9" ht="15.75" thickBot="1" x14ac:dyDescent="0.3">
      <c r="A21" s="5" t="s">
        <v>708</v>
      </c>
      <c r="B21" s="5">
        <v>0.19983347013304889</v>
      </c>
      <c r="C21" s="5">
        <v>1.7267207892572061E-2</v>
      </c>
      <c r="D21" s="5">
        <v>11.573004238804147</v>
      </c>
      <c r="E21" s="5">
        <v>4.4483925927055444E-28</v>
      </c>
      <c r="F21" s="5">
        <v>0.16592138213714941</v>
      </c>
      <c r="G21" s="5">
        <v>0.23374555812894837</v>
      </c>
      <c r="H21" s="5">
        <v>0.16592138213714941</v>
      </c>
      <c r="I21" s="5">
        <v>0.23374555812894837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F79DC-3270-4545-931B-7187481A67EF}">
  <dimension ref="A1:T601"/>
  <sheetViews>
    <sheetView topLeftCell="C581" workbookViewId="0">
      <selection activeCell="R4" sqref="R4"/>
    </sheetView>
  </sheetViews>
  <sheetFormatPr defaultRowHeight="15" x14ac:dyDescent="0.25"/>
  <cols>
    <col min="1" max="1" width="11" bestFit="1" customWidth="1"/>
    <col min="2" max="2" width="12.85546875" bestFit="1" customWidth="1"/>
  </cols>
  <sheetData>
    <row r="1" spans="1:20" x14ac:dyDescent="0.25">
      <c r="A1" t="s">
        <v>655</v>
      </c>
      <c r="B1" t="s">
        <v>656</v>
      </c>
      <c r="P1" s="9" t="s">
        <v>10</v>
      </c>
      <c r="Q1" t="s">
        <v>704</v>
      </c>
      <c r="R1" t="s">
        <v>705</v>
      </c>
      <c r="S1" t="s">
        <v>706</v>
      </c>
      <c r="T1" t="s">
        <v>707</v>
      </c>
    </row>
    <row r="2" spans="1:20" x14ac:dyDescent="0.25">
      <c r="A2" s="3">
        <v>43.808719400132702</v>
      </c>
      <c r="B2" s="3">
        <v>55.874396998137797</v>
      </c>
      <c r="P2" s="3">
        <v>43.808719400132702</v>
      </c>
      <c r="Q2" s="3">
        <v>4.2</v>
      </c>
      <c r="R2" s="3">
        <v>47</v>
      </c>
      <c r="S2" s="3">
        <v>13</v>
      </c>
      <c r="T2" s="3">
        <v>98.4</v>
      </c>
    </row>
    <row r="3" spans="1:20" x14ac:dyDescent="0.25">
      <c r="A3">
        <v>49.6030335332905</v>
      </c>
      <c r="B3">
        <v>45.607991122316903</v>
      </c>
      <c r="P3">
        <v>55.874396998137797</v>
      </c>
      <c r="Q3">
        <v>6.4</v>
      </c>
      <c r="R3">
        <v>97</v>
      </c>
      <c r="S3">
        <v>6</v>
      </c>
      <c r="T3">
        <v>68.040000000000006</v>
      </c>
    </row>
    <row r="4" spans="1:20" x14ac:dyDescent="0.25">
      <c r="A4" s="3">
        <v>40</v>
      </c>
      <c r="B4" s="3">
        <v>56.086276398989497</v>
      </c>
      <c r="I4" t="s">
        <v>669</v>
      </c>
      <c r="J4" t="s">
        <v>670</v>
      </c>
      <c r="K4" t="s">
        <v>671</v>
      </c>
      <c r="L4" t="s">
        <v>672</v>
      </c>
      <c r="M4" t="s">
        <v>673</v>
      </c>
      <c r="P4" s="3">
        <v>49.6030335332905</v>
      </c>
      <c r="Q4" s="3">
        <v>8.4</v>
      </c>
      <c r="R4" s="3">
        <v>70</v>
      </c>
      <c r="S4" s="3">
        <v>9</v>
      </c>
      <c r="T4" s="3">
        <v>81.22</v>
      </c>
    </row>
    <row r="5" spans="1:20" x14ac:dyDescent="0.25">
      <c r="A5">
        <v>40</v>
      </c>
      <c r="B5">
        <v>40</v>
      </c>
      <c r="I5" s="3">
        <v>55.874396998137797</v>
      </c>
      <c r="J5" s="3">
        <v>40</v>
      </c>
      <c r="K5" s="3">
        <v>44.941214596510498</v>
      </c>
      <c r="L5" s="3">
        <v>45.607991122316903</v>
      </c>
      <c r="M5" s="3">
        <v>56.086276398989497</v>
      </c>
      <c r="P5">
        <v>40</v>
      </c>
      <c r="Q5">
        <v>8.1</v>
      </c>
      <c r="R5">
        <v>45</v>
      </c>
      <c r="S5">
        <v>20</v>
      </c>
      <c r="T5">
        <v>67.040000000000006</v>
      </c>
    </row>
    <row r="6" spans="1:20" x14ac:dyDescent="0.25">
      <c r="A6" s="3">
        <v>41.703034638256298</v>
      </c>
      <c r="B6" s="3">
        <v>40.939856723254202</v>
      </c>
      <c r="I6">
        <v>51.998142244279698</v>
      </c>
      <c r="J6">
        <v>40.389974195530797</v>
      </c>
      <c r="K6">
        <v>50.1078202525688</v>
      </c>
      <c r="L6">
        <v>40.939856723254202</v>
      </c>
      <c r="M6">
        <v>44.6467180134253</v>
      </c>
      <c r="P6" s="3">
        <v>40</v>
      </c>
      <c r="Q6" s="3">
        <v>7.6</v>
      </c>
      <c r="R6" s="3">
        <v>59</v>
      </c>
      <c r="S6" s="3">
        <v>14</v>
      </c>
      <c r="T6" s="3">
        <v>83.85</v>
      </c>
    </row>
    <row r="7" spans="1:20" x14ac:dyDescent="0.25">
      <c r="A7">
        <v>44.503041423785596</v>
      </c>
      <c r="B7">
        <v>44.941214596510498</v>
      </c>
      <c r="I7" s="3">
        <v>51.660642436593399</v>
      </c>
      <c r="J7" s="3">
        <v>54.7891142970714</v>
      </c>
      <c r="K7" s="3">
        <v>42.033808474544301</v>
      </c>
      <c r="L7" s="3">
        <v>58.395107515697397</v>
      </c>
      <c r="M7" s="3">
        <v>53.3401328334661</v>
      </c>
      <c r="P7">
        <v>41.703034638256298</v>
      </c>
      <c r="Q7">
        <v>8.3000000000000007</v>
      </c>
      <c r="R7">
        <v>48</v>
      </c>
      <c r="S7">
        <v>29</v>
      </c>
      <c r="T7">
        <v>70.11</v>
      </c>
    </row>
    <row r="8" spans="1:20" x14ac:dyDescent="0.25">
      <c r="A8" s="3">
        <v>45.233479599135997</v>
      </c>
      <c r="B8" s="3">
        <v>51.998142244279698</v>
      </c>
      <c r="I8">
        <v>47.112550162576099</v>
      </c>
      <c r="J8">
        <v>48.169012841810002</v>
      </c>
      <c r="K8">
        <v>52.766293810651497</v>
      </c>
      <c r="L8">
        <v>57.622026416688101</v>
      </c>
      <c r="M8">
        <v>48.779510698386602</v>
      </c>
      <c r="P8" s="3">
        <v>44.503041423785596</v>
      </c>
      <c r="Q8" s="3">
        <v>7.7</v>
      </c>
      <c r="R8" s="3">
        <v>56</v>
      </c>
      <c r="S8" s="3">
        <v>7</v>
      </c>
      <c r="T8" s="3">
        <v>87.19</v>
      </c>
    </row>
    <row r="9" spans="1:20" x14ac:dyDescent="0.25">
      <c r="A9">
        <v>43.161029432695301</v>
      </c>
      <c r="B9">
        <v>51.660642436593399</v>
      </c>
      <c r="I9" s="3">
        <v>42.997287021951401</v>
      </c>
      <c r="J9" s="3">
        <v>67.071392074618899</v>
      </c>
      <c r="K9" s="3">
        <v>43.534506308987197</v>
      </c>
      <c r="L9" s="3">
        <v>53.291153422672998</v>
      </c>
      <c r="M9" s="3">
        <v>60.105876977983698</v>
      </c>
      <c r="P9">
        <v>45.607991122316903</v>
      </c>
      <c r="Q9">
        <v>4.0999999999999996</v>
      </c>
      <c r="R9">
        <v>66</v>
      </c>
      <c r="S9">
        <v>6</v>
      </c>
      <c r="T9">
        <v>74.25</v>
      </c>
    </row>
    <row r="10" spans="1:20" x14ac:dyDescent="0.25">
      <c r="A10" s="3">
        <v>40</v>
      </c>
      <c r="B10" s="3">
        <v>50.1078202525688</v>
      </c>
      <c r="I10">
        <v>61.139745803358899</v>
      </c>
      <c r="J10">
        <v>44.604624751519097</v>
      </c>
      <c r="K10">
        <v>51.1672312520597</v>
      </c>
      <c r="L10">
        <v>44.219741141601602</v>
      </c>
      <c r="M10">
        <v>44.142066131211998</v>
      </c>
      <c r="P10" s="3">
        <v>56.086276398989497</v>
      </c>
      <c r="Q10" s="3">
        <v>6.4</v>
      </c>
      <c r="R10" s="3">
        <v>68</v>
      </c>
      <c r="S10" s="3">
        <v>8</v>
      </c>
      <c r="T10" s="3">
        <v>89.18</v>
      </c>
    </row>
    <row r="11" spans="1:20" x14ac:dyDescent="0.25">
      <c r="A11">
        <v>44.854442683560599</v>
      </c>
      <c r="B11">
        <v>40.389974195530797</v>
      </c>
      <c r="I11" s="3">
        <v>55.379274436206998</v>
      </c>
      <c r="J11" s="3">
        <v>59.554343703511499</v>
      </c>
      <c r="K11" s="3">
        <v>46.640868416553602</v>
      </c>
      <c r="L11" s="3">
        <v>49.571325687557298</v>
      </c>
      <c r="M11" s="3">
        <v>64.288148493903094</v>
      </c>
      <c r="P11">
        <v>45.233479599135997</v>
      </c>
      <c r="Q11">
        <v>4.0999999999999996</v>
      </c>
      <c r="R11">
        <v>77</v>
      </c>
      <c r="S11">
        <v>5</v>
      </c>
      <c r="T11">
        <v>77.150000000000006</v>
      </c>
    </row>
    <row r="12" spans="1:20" x14ac:dyDescent="0.25">
      <c r="A12" s="3">
        <v>52.173815715651898</v>
      </c>
      <c r="B12" s="3">
        <v>54.7891142970714</v>
      </c>
      <c r="I12">
        <v>56.531946666326697</v>
      </c>
      <c r="J12">
        <v>45.469367263613897</v>
      </c>
      <c r="K12">
        <v>62.490228726242897</v>
      </c>
      <c r="L12">
        <v>41.161004635764002</v>
      </c>
      <c r="M12">
        <v>52.443306726782502</v>
      </c>
      <c r="P12" s="3">
        <v>40</v>
      </c>
      <c r="Q12" s="3">
        <v>6.8</v>
      </c>
      <c r="R12" s="3">
        <v>61</v>
      </c>
      <c r="S12" s="3">
        <v>18</v>
      </c>
      <c r="T12" s="3">
        <v>65.150000000000006</v>
      </c>
    </row>
    <row r="13" spans="1:20" x14ac:dyDescent="0.25">
      <c r="A13">
        <v>46.163934718039499</v>
      </c>
      <c r="B13">
        <v>42.033808474544301</v>
      </c>
      <c r="I13" s="3">
        <v>73.158164421892295</v>
      </c>
      <c r="J13" s="3">
        <v>44.767390511420899</v>
      </c>
      <c r="K13" s="3">
        <v>47.000767486343797</v>
      </c>
      <c r="L13" s="3">
        <v>40</v>
      </c>
      <c r="M13" s="3">
        <v>50.911657001971101</v>
      </c>
      <c r="P13">
        <v>40.939856723254202</v>
      </c>
      <c r="Q13">
        <v>5.2</v>
      </c>
      <c r="R13">
        <v>67</v>
      </c>
      <c r="S13">
        <v>6</v>
      </c>
      <c r="T13">
        <v>75.319999999999993</v>
      </c>
    </row>
    <row r="14" spans="1:20" x14ac:dyDescent="0.25">
      <c r="A14" s="3">
        <v>50.6406918547789</v>
      </c>
      <c r="B14" s="3">
        <v>48.169012841810002</v>
      </c>
      <c r="I14">
        <v>54.355617111683898</v>
      </c>
      <c r="J14">
        <v>40</v>
      </c>
      <c r="K14">
        <v>61.818449415933401</v>
      </c>
      <c r="L14">
        <v>55.584739755073002</v>
      </c>
      <c r="M14">
        <v>54.370675810202997</v>
      </c>
      <c r="P14" s="3">
        <v>43.161029432695301</v>
      </c>
      <c r="Q14" s="3">
        <v>6.2</v>
      </c>
      <c r="R14" s="3">
        <v>71</v>
      </c>
      <c r="S14" s="3">
        <v>11</v>
      </c>
      <c r="T14" s="3">
        <v>67.87</v>
      </c>
    </row>
    <row r="15" spans="1:20" x14ac:dyDescent="0.25">
      <c r="A15">
        <v>67.550906102645698</v>
      </c>
      <c r="B15">
        <v>52.766293810651497</v>
      </c>
      <c r="I15" s="3">
        <v>49.437150817014299</v>
      </c>
      <c r="J15" s="3">
        <v>61.235429035273398</v>
      </c>
      <c r="K15" s="3">
        <v>40</v>
      </c>
      <c r="L15" s="3">
        <v>50.751463975015398</v>
      </c>
      <c r="M15" s="3">
        <v>64.250142956814202</v>
      </c>
      <c r="P15">
        <v>44.941214596510498</v>
      </c>
      <c r="Q15">
        <v>5</v>
      </c>
      <c r="R15">
        <v>73</v>
      </c>
      <c r="S15">
        <v>11</v>
      </c>
      <c r="T15">
        <v>82.33</v>
      </c>
    </row>
    <row r="16" spans="1:20" x14ac:dyDescent="0.25">
      <c r="A16" s="3">
        <v>53.0241541220431</v>
      </c>
      <c r="B16" s="3">
        <v>58.395107515697397</v>
      </c>
      <c r="I16">
        <v>49.398098264473902</v>
      </c>
      <c r="J16">
        <v>42.1370065622054</v>
      </c>
      <c r="K16">
        <v>43.294811503164901</v>
      </c>
      <c r="L16">
        <v>40</v>
      </c>
      <c r="M16">
        <v>40</v>
      </c>
      <c r="P16" s="3">
        <v>40</v>
      </c>
      <c r="Q16" s="3">
        <v>8.1</v>
      </c>
      <c r="R16" s="3">
        <v>59</v>
      </c>
      <c r="S16" s="3">
        <v>18</v>
      </c>
      <c r="T16" s="3">
        <v>75.11</v>
      </c>
    </row>
    <row r="17" spans="1:20" x14ac:dyDescent="0.25">
      <c r="A17">
        <v>61.858145388782198</v>
      </c>
      <c r="B17">
        <v>67.071392074618899</v>
      </c>
      <c r="I17" s="3">
        <v>60.068556696729203</v>
      </c>
      <c r="J17" s="3">
        <v>46.439072946367702</v>
      </c>
      <c r="K17" s="3">
        <v>54.283456246336002</v>
      </c>
      <c r="L17" s="3">
        <v>54.0449996134939</v>
      </c>
      <c r="M17" s="3">
        <v>40</v>
      </c>
      <c r="P17">
        <v>51.998142244279698</v>
      </c>
      <c r="Q17">
        <v>4.9000000000000004</v>
      </c>
      <c r="R17">
        <v>85</v>
      </c>
      <c r="S17">
        <v>4</v>
      </c>
      <c r="T17">
        <v>87.4</v>
      </c>
    </row>
    <row r="18" spans="1:20" x14ac:dyDescent="0.25">
      <c r="A18" s="3">
        <v>61.480591339333799</v>
      </c>
      <c r="B18" s="3">
        <v>47.112550162576099</v>
      </c>
      <c r="I18">
        <v>40</v>
      </c>
      <c r="J18">
        <v>48.210509455000597</v>
      </c>
      <c r="K18">
        <v>65.664956161603797</v>
      </c>
      <c r="L18">
        <v>53.536824421483502</v>
      </c>
      <c r="M18">
        <v>53.667832802137703</v>
      </c>
      <c r="P18" s="3">
        <v>44.854442683560599</v>
      </c>
      <c r="Q18" s="3">
        <v>5.6</v>
      </c>
      <c r="R18" s="3">
        <v>65</v>
      </c>
      <c r="S18" s="3">
        <v>9</v>
      </c>
      <c r="T18" s="3">
        <v>82.5</v>
      </c>
    </row>
    <row r="19" spans="1:20" x14ac:dyDescent="0.25">
      <c r="A19">
        <v>41.737780084783097</v>
      </c>
      <c r="B19">
        <v>42.997287021951401</v>
      </c>
      <c r="I19" s="3">
        <v>45.804313848025799</v>
      </c>
      <c r="J19" s="3">
        <v>40</v>
      </c>
      <c r="K19" s="3">
        <v>41.771778856826998</v>
      </c>
      <c r="L19" s="3">
        <v>41.3938216709182</v>
      </c>
      <c r="M19" s="3">
        <v>42.2882450146355</v>
      </c>
      <c r="P19">
        <v>51.660642436593399</v>
      </c>
      <c r="Q19">
        <v>4.0999999999999996</v>
      </c>
      <c r="R19">
        <v>91</v>
      </c>
      <c r="S19">
        <v>24</v>
      </c>
      <c r="T19">
        <v>66.260000000000005</v>
      </c>
    </row>
    <row r="20" spans="1:20" x14ac:dyDescent="0.25">
      <c r="A20" s="3">
        <v>40.726789016237802</v>
      </c>
      <c r="B20" s="3">
        <v>57.622026416688101</v>
      </c>
      <c r="I20">
        <v>40</v>
      </c>
      <c r="J20">
        <v>42.063153531263602</v>
      </c>
      <c r="K20">
        <v>68.578562565562393</v>
      </c>
      <c r="L20">
        <v>51.649063613753803</v>
      </c>
      <c r="M20">
        <v>40</v>
      </c>
      <c r="P20" s="3">
        <v>50.1078202525688</v>
      </c>
      <c r="Q20" s="3">
        <v>5.5</v>
      </c>
      <c r="R20" s="3">
        <v>88</v>
      </c>
      <c r="S20" s="3">
        <v>18</v>
      </c>
      <c r="T20" s="3">
        <v>76.150000000000006</v>
      </c>
    </row>
    <row r="21" spans="1:20" x14ac:dyDescent="0.25">
      <c r="A21">
        <v>51.608843186379602</v>
      </c>
      <c r="B21">
        <v>43.534506308987197</v>
      </c>
      <c r="I21" s="3">
        <v>58.966550561905699</v>
      </c>
      <c r="J21" s="3">
        <v>40</v>
      </c>
      <c r="K21" s="3">
        <v>53.476408870659803</v>
      </c>
      <c r="L21" s="3">
        <v>50.626245515571</v>
      </c>
      <c r="M21" s="3">
        <v>56.318125430913902</v>
      </c>
      <c r="P21">
        <v>52.173815715651898</v>
      </c>
      <c r="Q21">
        <v>4.0999999999999996</v>
      </c>
      <c r="R21">
        <v>69</v>
      </c>
      <c r="S21">
        <v>21</v>
      </c>
      <c r="T21">
        <v>82.12</v>
      </c>
    </row>
    <row r="22" spans="1:20" x14ac:dyDescent="0.25">
      <c r="A22" s="3">
        <v>60.171625424630797</v>
      </c>
      <c r="B22" s="3">
        <v>44.6467180134253</v>
      </c>
      <c r="I22">
        <v>66.739606398030404</v>
      </c>
      <c r="J22">
        <v>58.5788930596093</v>
      </c>
      <c r="K22">
        <v>57.0965235013932</v>
      </c>
      <c r="L22">
        <v>40</v>
      </c>
      <c r="M22">
        <v>75.579391125995798</v>
      </c>
      <c r="P22" s="3">
        <v>46.163934718039499</v>
      </c>
      <c r="Q22" s="3">
        <v>6.2</v>
      </c>
      <c r="R22" s="3">
        <v>61</v>
      </c>
      <c r="S22" s="3">
        <v>8</v>
      </c>
      <c r="T22" s="3">
        <v>85.03</v>
      </c>
    </row>
    <row r="23" spans="1:20" x14ac:dyDescent="0.25">
      <c r="A23">
        <v>59.728766948688197</v>
      </c>
      <c r="B23">
        <v>44.604624751519097</v>
      </c>
      <c r="I23" s="3">
        <v>63.977761032732701</v>
      </c>
      <c r="J23" s="3">
        <v>59.6479367475714</v>
      </c>
      <c r="K23" s="3">
        <v>53.656953654852401</v>
      </c>
      <c r="L23" s="3">
        <v>50.858032262192097</v>
      </c>
      <c r="M23" s="3">
        <v>41.212668785805597</v>
      </c>
      <c r="P23">
        <v>50.6406918547789</v>
      </c>
      <c r="Q23">
        <v>4.0999999999999996</v>
      </c>
      <c r="R23">
        <v>86</v>
      </c>
      <c r="S23">
        <v>22</v>
      </c>
      <c r="T23">
        <v>68.67</v>
      </c>
    </row>
    <row r="24" spans="1:20" x14ac:dyDescent="0.25">
      <c r="A24" s="3">
        <v>58.875143384197202</v>
      </c>
      <c r="B24" s="3">
        <v>61.139745803358899</v>
      </c>
      <c r="I24">
        <v>62.334732681201899</v>
      </c>
      <c r="J24">
        <v>43.754870345507499</v>
      </c>
      <c r="K24">
        <v>42.932271092891</v>
      </c>
      <c r="L24">
        <v>41.154639650289703</v>
      </c>
      <c r="M24">
        <v>56.5767786026179</v>
      </c>
      <c r="P24" s="3">
        <v>40.389974195530797</v>
      </c>
      <c r="Q24" s="3">
        <v>5.9</v>
      </c>
      <c r="R24" s="3">
        <v>57</v>
      </c>
      <c r="S24" s="3">
        <v>3</v>
      </c>
      <c r="T24" s="3">
        <v>87.75</v>
      </c>
    </row>
    <row r="25" spans="1:20" x14ac:dyDescent="0.25">
      <c r="A25">
        <v>40</v>
      </c>
      <c r="B25">
        <v>53.3401328334661</v>
      </c>
      <c r="I25" s="3">
        <v>55.9703717900816</v>
      </c>
      <c r="J25" s="3">
        <v>49.709010536253501</v>
      </c>
      <c r="K25" s="3">
        <v>40</v>
      </c>
      <c r="L25" s="3">
        <v>61.346040165548999</v>
      </c>
      <c r="M25" s="3">
        <v>40</v>
      </c>
      <c r="P25">
        <v>54.7891142970714</v>
      </c>
      <c r="Q25">
        <v>7</v>
      </c>
      <c r="R25">
        <v>87</v>
      </c>
      <c r="S25">
        <v>7</v>
      </c>
      <c r="T25">
        <v>77.03</v>
      </c>
    </row>
    <row r="26" spans="1:20" x14ac:dyDescent="0.25">
      <c r="A26" s="3">
        <v>54.0675390507568</v>
      </c>
      <c r="B26" s="3">
        <v>51.1672312520597</v>
      </c>
      <c r="I26">
        <v>53.0379227595554</v>
      </c>
      <c r="J26">
        <v>56.900087549353003</v>
      </c>
      <c r="K26">
        <v>40</v>
      </c>
      <c r="L26">
        <v>52.100789796221797</v>
      </c>
      <c r="M26">
        <v>40</v>
      </c>
      <c r="P26" s="3">
        <v>42.033808474544301</v>
      </c>
      <c r="Q26" s="3">
        <v>8.6</v>
      </c>
      <c r="R26" s="3">
        <v>52</v>
      </c>
      <c r="S26" s="3">
        <v>21</v>
      </c>
      <c r="T26" s="3">
        <v>71.400000000000006</v>
      </c>
    </row>
    <row r="27" spans="1:20" x14ac:dyDescent="0.25">
      <c r="A27">
        <v>42.812830286034199</v>
      </c>
      <c r="B27">
        <v>53.291153422672998</v>
      </c>
      <c r="I27" s="3">
        <v>44.717779582302903</v>
      </c>
      <c r="J27" s="3">
        <v>64.906919177787998</v>
      </c>
      <c r="K27" s="3">
        <v>52.913180995371803</v>
      </c>
      <c r="L27" s="3">
        <v>42.572434699380103</v>
      </c>
      <c r="M27" s="3">
        <v>51.618368831527498</v>
      </c>
      <c r="P27">
        <v>67.550906102645698</v>
      </c>
      <c r="Q27">
        <v>6.8</v>
      </c>
      <c r="R27">
        <v>90</v>
      </c>
      <c r="S27">
        <v>17</v>
      </c>
      <c r="T27">
        <v>93.19</v>
      </c>
    </row>
    <row r="28" spans="1:20" x14ac:dyDescent="0.25">
      <c r="A28" s="3">
        <v>40.876930555913198</v>
      </c>
      <c r="B28" s="3">
        <v>44.219741141601602</v>
      </c>
      <c r="I28">
        <v>51.687071602623597</v>
      </c>
      <c r="J28">
        <v>40</v>
      </c>
      <c r="K28">
        <v>42.455830445516597</v>
      </c>
      <c r="L28">
        <v>60.013889292086297</v>
      </c>
      <c r="M28">
        <v>54.792113221837297</v>
      </c>
      <c r="P28" s="3">
        <v>48.169012841810002</v>
      </c>
      <c r="Q28" s="3">
        <v>6.6</v>
      </c>
      <c r="R28" s="3">
        <v>84</v>
      </c>
      <c r="S28" s="3">
        <v>26</v>
      </c>
      <c r="T28" s="3">
        <v>67.400000000000006</v>
      </c>
    </row>
    <row r="29" spans="1:20" x14ac:dyDescent="0.25">
      <c r="A29">
        <v>59.372458948465102</v>
      </c>
      <c r="B29">
        <v>59.554343703511499</v>
      </c>
      <c r="I29" s="3">
        <v>57.509135484896497</v>
      </c>
      <c r="J29" s="3">
        <v>56.655555463644703</v>
      </c>
      <c r="K29" s="3">
        <v>49.433663093256499</v>
      </c>
      <c r="L29" s="3">
        <v>48.780084726867699</v>
      </c>
      <c r="M29" s="3">
        <v>50.386078926209002</v>
      </c>
      <c r="P29">
        <v>53.0241541220431</v>
      </c>
      <c r="Q29">
        <v>4.2</v>
      </c>
      <c r="R29">
        <v>95</v>
      </c>
      <c r="S29">
        <v>11</v>
      </c>
      <c r="T29">
        <v>97.54</v>
      </c>
    </row>
    <row r="30" spans="1:20" x14ac:dyDescent="0.25">
      <c r="A30" s="3">
        <v>50.671691343537702</v>
      </c>
      <c r="B30" s="3">
        <v>55.379274436206998</v>
      </c>
      <c r="I30">
        <v>54.4878447266343</v>
      </c>
      <c r="J30">
        <v>58.582755966753503</v>
      </c>
      <c r="K30">
        <v>40</v>
      </c>
      <c r="L30">
        <v>46.267324029756097</v>
      </c>
      <c r="M30">
        <v>51.366493822289897</v>
      </c>
      <c r="P30" s="3">
        <v>61.858145388782198</v>
      </c>
      <c r="Q30" s="3">
        <v>5.9</v>
      </c>
      <c r="R30" s="3">
        <v>79</v>
      </c>
      <c r="S30" s="3">
        <v>29</v>
      </c>
      <c r="T30" s="3">
        <v>89.72</v>
      </c>
    </row>
    <row r="31" spans="1:20" x14ac:dyDescent="0.25">
      <c r="A31">
        <v>54.048401983984299</v>
      </c>
      <c r="B31">
        <v>45.469367263613897</v>
      </c>
      <c r="I31" s="3">
        <v>43.453633873494297</v>
      </c>
      <c r="J31" s="3">
        <v>41.528283151040696</v>
      </c>
      <c r="K31" s="3">
        <v>45.178702625462101</v>
      </c>
      <c r="L31" s="3">
        <v>69.215613523562496</v>
      </c>
      <c r="M31" s="3">
        <v>43.219704753591898</v>
      </c>
      <c r="P31">
        <v>61.480591339333799</v>
      </c>
      <c r="Q31">
        <v>6</v>
      </c>
      <c r="R31">
        <v>95</v>
      </c>
      <c r="S31">
        <v>18</v>
      </c>
      <c r="T31">
        <v>81.650000000000006</v>
      </c>
    </row>
    <row r="32" spans="1:20" x14ac:dyDescent="0.25">
      <c r="A32" s="3">
        <v>40</v>
      </c>
      <c r="B32" s="3">
        <v>48.779510698386602</v>
      </c>
      <c r="I32">
        <v>40</v>
      </c>
      <c r="J32">
        <v>43.815393053054102</v>
      </c>
      <c r="K32">
        <v>53.020504254132703</v>
      </c>
      <c r="L32">
        <v>53.0821190269223</v>
      </c>
      <c r="M32">
        <v>59.504699874941601</v>
      </c>
      <c r="P32" s="3">
        <v>41.737780084783097</v>
      </c>
      <c r="Q32" s="3">
        <v>5.6</v>
      </c>
      <c r="R32" s="3">
        <v>71</v>
      </c>
      <c r="S32" s="3">
        <v>10</v>
      </c>
      <c r="T32" s="3">
        <v>65.39</v>
      </c>
    </row>
    <row r="33" spans="1:20" x14ac:dyDescent="0.25">
      <c r="A33">
        <v>55.232441359381198</v>
      </c>
      <c r="B33">
        <v>46.640868416553602</v>
      </c>
      <c r="I33" s="3">
        <v>49.919213121944097</v>
      </c>
      <c r="J33" s="3">
        <v>49.037654396799802</v>
      </c>
      <c r="K33" s="3">
        <v>63.124676923806597</v>
      </c>
      <c r="L33" s="3">
        <v>63.932028517755001</v>
      </c>
      <c r="M33" s="3">
        <v>48.355125700414199</v>
      </c>
      <c r="P33">
        <v>52.766293810651497</v>
      </c>
      <c r="Q33">
        <v>8.4</v>
      </c>
      <c r="R33">
        <v>70</v>
      </c>
      <c r="S33">
        <v>12</v>
      </c>
      <c r="T33">
        <v>78.650000000000006</v>
      </c>
    </row>
    <row r="34" spans="1:20" x14ac:dyDescent="0.25">
      <c r="A34" s="3">
        <v>40</v>
      </c>
      <c r="B34" s="3">
        <v>44.767390511420899</v>
      </c>
      <c r="I34">
        <v>56.862072227524699</v>
      </c>
      <c r="J34">
        <v>52.726716815580502</v>
      </c>
      <c r="K34">
        <v>59.400152219981997</v>
      </c>
      <c r="L34">
        <v>40</v>
      </c>
      <c r="M34">
        <v>66.656194264851294</v>
      </c>
      <c r="P34" s="3">
        <v>58.395107515697397</v>
      </c>
      <c r="Q34" s="3">
        <v>6</v>
      </c>
      <c r="R34" s="3">
        <v>90</v>
      </c>
      <c r="S34" s="3">
        <v>27</v>
      </c>
      <c r="T34" s="3">
        <v>87.6</v>
      </c>
    </row>
    <row r="35" spans="1:20" x14ac:dyDescent="0.25">
      <c r="A35">
        <v>64.169008458094794</v>
      </c>
      <c r="B35">
        <v>56.531946666326697</v>
      </c>
      <c r="I35" s="3">
        <v>67.482317539301206</v>
      </c>
      <c r="J35" s="3">
        <v>40</v>
      </c>
      <c r="K35" s="3">
        <v>43.0616026183123</v>
      </c>
      <c r="L35" s="3">
        <v>49.570039076609802</v>
      </c>
      <c r="M35" s="3">
        <v>48.910347003593202</v>
      </c>
      <c r="P35">
        <v>67.071392074618899</v>
      </c>
      <c r="Q35">
        <v>5.0999999999999996</v>
      </c>
      <c r="R35">
        <v>95</v>
      </c>
      <c r="S35">
        <v>25</v>
      </c>
      <c r="T35">
        <v>95.06</v>
      </c>
    </row>
    <row r="36" spans="1:20" x14ac:dyDescent="0.25">
      <c r="A36" s="3">
        <v>53.494472246366698</v>
      </c>
      <c r="B36" s="3">
        <v>60.105876977983698</v>
      </c>
      <c r="I36">
        <v>49.881271493030603</v>
      </c>
      <c r="J36">
        <v>45.977344119540703</v>
      </c>
      <c r="K36">
        <v>56.226374653341203</v>
      </c>
      <c r="L36">
        <v>61.0167329394923</v>
      </c>
      <c r="M36">
        <v>45.488599306905101</v>
      </c>
      <c r="P36" s="3">
        <v>40.726789016237802</v>
      </c>
      <c r="Q36" s="3">
        <v>7.9</v>
      </c>
      <c r="R36" s="3">
        <v>48</v>
      </c>
      <c r="S36" s="3">
        <v>17</v>
      </c>
      <c r="T36" s="3">
        <v>86.62</v>
      </c>
    </row>
    <row r="37" spans="1:20" x14ac:dyDescent="0.25">
      <c r="A37">
        <v>46.423512923238398</v>
      </c>
      <c r="B37">
        <v>40</v>
      </c>
      <c r="I37" s="3">
        <v>44.522523468862097</v>
      </c>
      <c r="J37" s="3">
        <v>46.080134812778702</v>
      </c>
      <c r="K37" s="3">
        <v>41.510480281229597</v>
      </c>
      <c r="L37" s="3">
        <v>49.481728190388701</v>
      </c>
      <c r="M37" s="3">
        <v>40</v>
      </c>
      <c r="P37">
        <v>51.608843186379602</v>
      </c>
      <c r="Q37">
        <v>8.1</v>
      </c>
      <c r="R37">
        <v>88</v>
      </c>
      <c r="S37">
        <v>15</v>
      </c>
      <c r="T37">
        <v>78.92</v>
      </c>
    </row>
    <row r="38" spans="1:20" x14ac:dyDescent="0.25">
      <c r="A38" s="3">
        <v>46.360473324748497</v>
      </c>
      <c r="B38" s="3">
        <v>62.490228726242897</v>
      </c>
      <c r="I38">
        <v>63.403415016807799</v>
      </c>
      <c r="J38">
        <v>44.981996940579101</v>
      </c>
      <c r="K38">
        <v>42.7627206086228</v>
      </c>
      <c r="L38">
        <v>48.863030675231499</v>
      </c>
      <c r="M38">
        <v>63.829751500972399</v>
      </c>
      <c r="P38" s="3">
        <v>47.112550162576099</v>
      </c>
      <c r="Q38" s="3">
        <v>5.7</v>
      </c>
      <c r="R38" s="3">
        <v>73</v>
      </c>
      <c r="S38" s="3">
        <v>13</v>
      </c>
      <c r="T38" s="3">
        <v>80.66</v>
      </c>
    </row>
    <row r="39" spans="1:20" x14ac:dyDescent="0.25">
      <c r="A39">
        <v>56.497080030284998</v>
      </c>
      <c r="B39">
        <v>47.000767486343797</v>
      </c>
      <c r="I39" s="3">
        <v>62.411540174613897</v>
      </c>
      <c r="J39" s="3">
        <v>59.821863903959503</v>
      </c>
      <c r="K39" s="3">
        <v>40</v>
      </c>
      <c r="L39" s="3">
        <v>51.436583170306299</v>
      </c>
      <c r="M39" s="3">
        <v>47.781885315894897</v>
      </c>
      <c r="P39">
        <v>60.171625424630797</v>
      </c>
      <c r="Q39">
        <v>8.1</v>
      </c>
      <c r="R39">
        <v>85</v>
      </c>
      <c r="S39">
        <v>4</v>
      </c>
      <c r="T39">
        <v>95.57</v>
      </c>
    </row>
    <row r="40" spans="1:20" x14ac:dyDescent="0.25">
      <c r="A40" s="3">
        <v>40</v>
      </c>
      <c r="B40" s="3">
        <v>61.818449415933401</v>
      </c>
      <c r="I40">
        <v>52.521040119231202</v>
      </c>
      <c r="J40">
        <v>47.155685545282402</v>
      </c>
      <c r="K40">
        <v>40</v>
      </c>
      <c r="L40">
        <v>49.947041741593601</v>
      </c>
      <c r="M40">
        <v>57.218512325342502</v>
      </c>
      <c r="P40" s="3">
        <v>59.728766948688197</v>
      </c>
      <c r="Q40" s="3">
        <v>7.5</v>
      </c>
      <c r="R40" s="3">
        <v>99</v>
      </c>
      <c r="S40" s="3">
        <v>22</v>
      </c>
      <c r="T40" s="3">
        <v>77.3</v>
      </c>
    </row>
    <row r="41" spans="1:20" x14ac:dyDescent="0.25">
      <c r="A41">
        <v>49.252766263942</v>
      </c>
      <c r="B41">
        <v>73.158164421892295</v>
      </c>
      <c r="I41" s="3">
        <v>48.865294537190501</v>
      </c>
      <c r="J41" s="3">
        <v>63.560481555100402</v>
      </c>
      <c r="K41" s="3">
        <v>48.264893523263297</v>
      </c>
      <c r="L41" s="3">
        <v>69.451297924364198</v>
      </c>
      <c r="M41" s="3">
        <v>40.648643986805403</v>
      </c>
      <c r="P41">
        <v>42.997287021951401</v>
      </c>
      <c r="Q41">
        <v>4.5999999999999996</v>
      </c>
      <c r="R41">
        <v>46</v>
      </c>
      <c r="S41">
        <v>12</v>
      </c>
      <c r="T41">
        <v>67.28</v>
      </c>
    </row>
    <row r="42" spans="1:20" x14ac:dyDescent="0.25">
      <c r="A42" s="3">
        <v>52.608381494519101</v>
      </c>
      <c r="B42" s="3">
        <v>40</v>
      </c>
      <c r="I42">
        <v>60.343043711700901</v>
      </c>
      <c r="J42">
        <v>40.643126571440497</v>
      </c>
      <c r="K42">
        <v>40</v>
      </c>
      <c r="L42">
        <v>63.163693529746801</v>
      </c>
      <c r="M42">
        <v>60.622824252633102</v>
      </c>
      <c r="P42" s="3">
        <v>58.875143384197202</v>
      </c>
      <c r="Q42" s="3">
        <v>5.8</v>
      </c>
      <c r="R42" s="3">
        <v>93</v>
      </c>
      <c r="S42" s="3">
        <v>16</v>
      </c>
      <c r="T42" s="3">
        <v>80.489999999999995</v>
      </c>
    </row>
    <row r="43" spans="1:20" x14ac:dyDescent="0.25">
      <c r="A43">
        <v>54.9609692835079</v>
      </c>
      <c r="B43">
        <v>61.235429035273398</v>
      </c>
      <c r="I43" s="3">
        <v>48.261839594516097</v>
      </c>
      <c r="J43" s="3">
        <v>40</v>
      </c>
      <c r="K43" s="3">
        <v>46.139938753863198</v>
      </c>
      <c r="L43" s="3">
        <v>47.724928875710901</v>
      </c>
      <c r="M43" s="3">
        <v>59.647611344299101</v>
      </c>
      <c r="P43">
        <v>57.622026416688101</v>
      </c>
      <c r="Q43">
        <v>8.3000000000000007</v>
      </c>
      <c r="R43">
        <v>86</v>
      </c>
      <c r="S43">
        <v>15</v>
      </c>
      <c r="T43">
        <v>99.95</v>
      </c>
    </row>
    <row r="44" spans="1:20" x14ac:dyDescent="0.25">
      <c r="A44" s="3">
        <v>48.529102174259997</v>
      </c>
      <c r="B44" s="3">
        <v>43.294811503164901</v>
      </c>
      <c r="I44">
        <v>64.185972297291102</v>
      </c>
      <c r="J44">
        <v>66.778436433912105</v>
      </c>
      <c r="K44">
        <v>71.347127860564598</v>
      </c>
      <c r="L44">
        <v>55.088117775887099</v>
      </c>
      <c r="M44">
        <v>51.591806097957601</v>
      </c>
      <c r="P44" s="3">
        <v>40</v>
      </c>
      <c r="Q44" s="3">
        <v>5.9</v>
      </c>
      <c r="R44" s="3">
        <v>54</v>
      </c>
      <c r="S44" s="3">
        <v>18</v>
      </c>
      <c r="T44" s="3">
        <v>78.290000000000006</v>
      </c>
    </row>
    <row r="45" spans="1:20" x14ac:dyDescent="0.25">
      <c r="A45">
        <v>51.5030414411358</v>
      </c>
      <c r="B45">
        <v>49.571325687557298</v>
      </c>
      <c r="I45" s="3">
        <v>43.655360490285098</v>
      </c>
      <c r="J45" s="3">
        <v>44.230295965874397</v>
      </c>
      <c r="K45" s="3">
        <v>40</v>
      </c>
      <c r="L45" s="3">
        <v>49.197773756558</v>
      </c>
      <c r="M45" s="3">
        <v>40</v>
      </c>
      <c r="P45">
        <v>43.534506308987197</v>
      </c>
      <c r="Q45">
        <v>8.3000000000000007</v>
      </c>
      <c r="R45">
        <v>45</v>
      </c>
      <c r="S45">
        <v>26</v>
      </c>
      <c r="T45">
        <v>71.760000000000005</v>
      </c>
    </row>
    <row r="46" spans="1:20" x14ac:dyDescent="0.25">
      <c r="A46" s="3">
        <v>52.446167902493002</v>
      </c>
      <c r="B46" s="3">
        <v>41.161004635764002</v>
      </c>
      <c r="I46">
        <v>52.7766707695138</v>
      </c>
      <c r="J46">
        <v>46.491649084702203</v>
      </c>
      <c r="K46">
        <v>62.323554228966302</v>
      </c>
      <c r="L46">
        <v>64.551662109447307</v>
      </c>
      <c r="M46">
        <v>41.644953653495598</v>
      </c>
      <c r="P46" s="3">
        <v>44.6467180134253</v>
      </c>
      <c r="Q46" s="3">
        <v>6.2</v>
      </c>
      <c r="R46" s="3">
        <v>72</v>
      </c>
      <c r="S46" s="3">
        <v>5</v>
      </c>
      <c r="T46" s="3">
        <v>66.58</v>
      </c>
    </row>
    <row r="47" spans="1:20" x14ac:dyDescent="0.25">
      <c r="A47">
        <v>50.654939700102197</v>
      </c>
      <c r="B47">
        <v>42.1370065622054</v>
      </c>
      <c r="I47" s="3">
        <v>40</v>
      </c>
      <c r="J47" s="3">
        <v>57.492583429917403</v>
      </c>
      <c r="K47" s="3">
        <v>53.864138003037297</v>
      </c>
      <c r="L47" s="3">
        <v>47.067674781116601</v>
      </c>
      <c r="M47" s="3">
        <v>40</v>
      </c>
      <c r="P47">
        <v>44.604624751519097</v>
      </c>
      <c r="Q47">
        <v>6.8</v>
      </c>
      <c r="R47">
        <v>74</v>
      </c>
      <c r="S47">
        <v>4</v>
      </c>
      <c r="T47">
        <v>70.98</v>
      </c>
    </row>
    <row r="48" spans="1:20" x14ac:dyDescent="0.25">
      <c r="A48" s="3">
        <v>44.992810017019401</v>
      </c>
      <c r="B48" s="3">
        <v>46.439072946367702</v>
      </c>
      <c r="I48">
        <v>64.435264970984207</v>
      </c>
      <c r="J48">
        <v>56.471112544933</v>
      </c>
      <c r="K48">
        <v>61.745045942559898</v>
      </c>
      <c r="L48">
        <v>40</v>
      </c>
      <c r="M48">
        <v>56.657923194299997</v>
      </c>
      <c r="P48" s="3">
        <v>54.0675390507568</v>
      </c>
      <c r="Q48" s="3">
        <v>5.9</v>
      </c>
      <c r="R48" s="3">
        <v>92</v>
      </c>
      <c r="S48" s="3">
        <v>5</v>
      </c>
      <c r="T48" s="3">
        <v>76.34</v>
      </c>
    </row>
    <row r="49" spans="1:20" x14ac:dyDescent="0.25">
      <c r="A49">
        <v>40</v>
      </c>
      <c r="B49">
        <v>54.355617111683898</v>
      </c>
      <c r="I49" s="3">
        <v>52.099424501557699</v>
      </c>
      <c r="J49" s="3">
        <v>50.2714801209016</v>
      </c>
      <c r="K49" s="3">
        <v>49.875478890012602</v>
      </c>
      <c r="L49" s="3">
        <v>51.547413662957197</v>
      </c>
      <c r="M49" s="3">
        <v>46.789162610797902</v>
      </c>
      <c r="P49">
        <v>42.812830286034199</v>
      </c>
      <c r="Q49">
        <v>7.1</v>
      </c>
      <c r="R49">
        <v>60</v>
      </c>
      <c r="S49">
        <v>8</v>
      </c>
      <c r="T49">
        <v>85.1</v>
      </c>
    </row>
    <row r="50" spans="1:20" x14ac:dyDescent="0.25">
      <c r="A50" s="3">
        <v>58.754339230461802</v>
      </c>
      <c r="B50" s="3">
        <v>54.283456246336002</v>
      </c>
      <c r="I50">
        <v>46.041330504602001</v>
      </c>
      <c r="J50">
        <v>44.998025978478502</v>
      </c>
      <c r="K50">
        <v>49.315112484318497</v>
      </c>
      <c r="L50">
        <v>62.544370053190598</v>
      </c>
      <c r="M50">
        <v>53.093800703050498</v>
      </c>
      <c r="P50" s="3">
        <v>40.876930555913198</v>
      </c>
      <c r="Q50" s="3">
        <v>6.6</v>
      </c>
      <c r="R50" s="3">
        <v>58</v>
      </c>
      <c r="S50" s="3">
        <v>20</v>
      </c>
      <c r="T50" s="3">
        <v>88.3</v>
      </c>
    </row>
    <row r="51" spans="1:20" x14ac:dyDescent="0.25">
      <c r="A51">
        <v>54.286774629236703</v>
      </c>
      <c r="B51">
        <v>44.142066131211998</v>
      </c>
      <c r="I51" s="3">
        <v>47.249006553540099</v>
      </c>
      <c r="J51" s="3">
        <v>47.522914539638798</v>
      </c>
      <c r="K51" s="3">
        <v>53.251062918985603</v>
      </c>
      <c r="L51" s="3">
        <v>58.453583549048602</v>
      </c>
      <c r="M51" s="3">
        <v>54.908603568920398</v>
      </c>
      <c r="P51">
        <v>59.372458948465102</v>
      </c>
      <c r="Q51">
        <v>8.1999999999999993</v>
      </c>
      <c r="R51">
        <v>95</v>
      </c>
      <c r="S51">
        <v>16</v>
      </c>
      <c r="T51">
        <v>66.5</v>
      </c>
    </row>
    <row r="52" spans="1:20" x14ac:dyDescent="0.25">
      <c r="A52" s="3">
        <v>54.409730448324602</v>
      </c>
      <c r="B52" s="3">
        <v>48.210509455000597</v>
      </c>
      <c r="I52">
        <v>40</v>
      </c>
      <c r="J52">
        <v>54.2620558622015</v>
      </c>
      <c r="K52">
        <v>50.585999360312201</v>
      </c>
      <c r="L52">
        <v>40</v>
      </c>
      <c r="M52">
        <v>52.337724405279097</v>
      </c>
      <c r="P52" s="3">
        <v>61.139745803358899</v>
      </c>
      <c r="Q52" s="3">
        <v>8.8000000000000007</v>
      </c>
      <c r="R52" s="3">
        <v>59</v>
      </c>
      <c r="S52" s="3">
        <v>29</v>
      </c>
      <c r="T52" s="3">
        <v>97.77</v>
      </c>
    </row>
    <row r="53" spans="1:20" x14ac:dyDescent="0.25">
      <c r="A53">
        <v>51.607740723523698</v>
      </c>
      <c r="B53">
        <v>65.664956161603797</v>
      </c>
      <c r="I53" s="3">
        <v>55.255091818424603</v>
      </c>
      <c r="J53" s="3">
        <v>49.932452482130202</v>
      </c>
      <c r="K53" s="3">
        <v>59.158353480221102</v>
      </c>
      <c r="L53" s="3">
        <v>54.231828471448303</v>
      </c>
      <c r="M53" s="3">
        <v>40.311528183739199</v>
      </c>
      <c r="P53">
        <v>53.3401328334661</v>
      </c>
      <c r="Q53">
        <v>5.4</v>
      </c>
      <c r="R53">
        <v>68</v>
      </c>
      <c r="S53">
        <v>10</v>
      </c>
      <c r="T53">
        <v>73.25</v>
      </c>
    </row>
    <row r="54" spans="1:20" x14ac:dyDescent="0.25">
      <c r="A54" s="3">
        <v>60.968159972703802</v>
      </c>
      <c r="B54" s="3">
        <v>40</v>
      </c>
      <c r="I54">
        <v>40</v>
      </c>
      <c r="J54">
        <v>51.128540695785503</v>
      </c>
      <c r="K54">
        <v>48.746425045670399</v>
      </c>
      <c r="L54">
        <v>40</v>
      </c>
      <c r="M54">
        <v>55.456457228361202</v>
      </c>
      <c r="P54" s="3">
        <v>50.671691343537702</v>
      </c>
      <c r="Q54" s="3">
        <v>4.8</v>
      </c>
      <c r="R54" s="3">
        <v>73</v>
      </c>
      <c r="S54" s="3">
        <v>23</v>
      </c>
      <c r="T54" s="3">
        <v>70.22</v>
      </c>
    </row>
    <row r="55" spans="1:20" x14ac:dyDescent="0.25">
      <c r="A55">
        <v>46.829584866100397</v>
      </c>
      <c r="B55">
        <v>49.437150817014299</v>
      </c>
      <c r="I55" s="3">
        <v>54.537830503983102</v>
      </c>
      <c r="J55" s="3">
        <v>56.249976422500801</v>
      </c>
      <c r="K55" s="3">
        <v>59.435191487054297</v>
      </c>
      <c r="L55" s="3">
        <v>57.879556899054201</v>
      </c>
      <c r="M55" s="3">
        <v>42.465785906001599</v>
      </c>
      <c r="P55">
        <v>54.048401983984299</v>
      </c>
      <c r="Q55">
        <v>5.6</v>
      </c>
      <c r="R55">
        <v>80</v>
      </c>
      <c r="S55">
        <v>22</v>
      </c>
      <c r="T55">
        <v>83.58</v>
      </c>
    </row>
    <row r="56" spans="1:20" x14ac:dyDescent="0.25">
      <c r="A56" s="3">
        <v>40</v>
      </c>
      <c r="B56" s="3">
        <v>64.288148493903094</v>
      </c>
      <c r="I56">
        <v>40</v>
      </c>
      <c r="J56">
        <v>57.4286565066188</v>
      </c>
      <c r="K56">
        <v>51.397912634157997</v>
      </c>
      <c r="L56">
        <v>48.720231473866299</v>
      </c>
      <c r="M56">
        <v>45.132660470276299</v>
      </c>
      <c r="P56" s="3">
        <v>51.1672312520597</v>
      </c>
      <c r="Q56" s="3">
        <v>7.6</v>
      </c>
      <c r="R56" s="3">
        <v>78</v>
      </c>
      <c r="S56" s="3">
        <v>6</v>
      </c>
      <c r="T56" s="3">
        <v>88.72</v>
      </c>
    </row>
    <row r="57" spans="1:20" x14ac:dyDescent="0.25">
      <c r="A57">
        <v>57.963951620399101</v>
      </c>
      <c r="B57">
        <v>42.063153531263602</v>
      </c>
      <c r="I57" s="3">
        <v>65.242854692942203</v>
      </c>
      <c r="J57" s="3">
        <v>62.737729651041398</v>
      </c>
      <c r="K57" s="3">
        <v>44.736090287921598</v>
      </c>
      <c r="L57" s="7">
        <v>40</v>
      </c>
      <c r="M57" s="3">
        <v>47.246985300957498</v>
      </c>
      <c r="P57">
        <v>40</v>
      </c>
      <c r="Q57">
        <v>5.0999999999999996</v>
      </c>
      <c r="R57">
        <v>48</v>
      </c>
      <c r="S57">
        <v>14</v>
      </c>
      <c r="T57">
        <v>75.75</v>
      </c>
    </row>
    <row r="58" spans="1:20" x14ac:dyDescent="0.25">
      <c r="A58" s="3">
        <v>56.956721903472904</v>
      </c>
      <c r="B58" s="3">
        <v>41.771778856826998</v>
      </c>
      <c r="I58">
        <v>57.973957010638799</v>
      </c>
      <c r="J58">
        <v>43.264153392796899</v>
      </c>
      <c r="K58">
        <v>46.749214539457597</v>
      </c>
      <c r="M58">
        <v>45.883709301603602</v>
      </c>
      <c r="P58" s="3">
        <v>53.291153422672998</v>
      </c>
      <c r="Q58" s="3">
        <v>5.6</v>
      </c>
      <c r="R58" s="3">
        <v>72</v>
      </c>
      <c r="S58" s="3">
        <v>18</v>
      </c>
      <c r="T58" s="3">
        <v>88.43</v>
      </c>
    </row>
    <row r="59" spans="1:20" x14ac:dyDescent="0.25">
      <c r="A59">
        <v>43.387219195231602</v>
      </c>
      <c r="B59">
        <v>40</v>
      </c>
      <c r="I59" s="3">
        <v>43.331087309396601</v>
      </c>
      <c r="J59" s="3">
        <v>50.637436791310698</v>
      </c>
      <c r="K59" s="3">
        <v>51.091741666129401</v>
      </c>
      <c r="M59" s="3">
        <v>40.910958241870702</v>
      </c>
      <c r="P59">
        <v>55.232441359381198</v>
      </c>
      <c r="Q59">
        <v>8.6999999999999993</v>
      </c>
      <c r="R59">
        <v>74</v>
      </c>
      <c r="S59">
        <v>29</v>
      </c>
      <c r="T59">
        <v>75.3</v>
      </c>
    </row>
    <row r="60" spans="1:20" x14ac:dyDescent="0.25">
      <c r="A60" s="3">
        <v>40</v>
      </c>
      <c r="B60" s="3">
        <v>40</v>
      </c>
      <c r="I60">
        <v>40</v>
      </c>
      <c r="J60">
        <v>49.914025256946303</v>
      </c>
      <c r="K60">
        <v>58.962751226121803</v>
      </c>
      <c r="M60">
        <v>51.452852440268302</v>
      </c>
      <c r="P60" s="3">
        <v>40</v>
      </c>
      <c r="Q60" s="3">
        <v>7.8</v>
      </c>
      <c r="R60" s="3">
        <v>65</v>
      </c>
      <c r="S60" s="3">
        <v>2</v>
      </c>
      <c r="T60" s="3">
        <v>96.58</v>
      </c>
    </row>
    <row r="61" spans="1:20" x14ac:dyDescent="0.25">
      <c r="A61">
        <v>49.714643442892203</v>
      </c>
      <c r="B61">
        <v>52.443306726782502</v>
      </c>
      <c r="I61" s="3">
        <v>46.827259585578297</v>
      </c>
      <c r="J61" s="3">
        <v>46.626097613504498</v>
      </c>
      <c r="K61" s="3">
        <v>66.397745052328204</v>
      </c>
      <c r="M61" s="3">
        <v>46.807005084727102</v>
      </c>
      <c r="P61">
        <v>44.219741141601602</v>
      </c>
      <c r="Q61">
        <v>8.8000000000000007</v>
      </c>
      <c r="R61">
        <v>51</v>
      </c>
      <c r="S61">
        <v>21</v>
      </c>
      <c r="T61">
        <v>95.82</v>
      </c>
    </row>
    <row r="62" spans="1:20" x14ac:dyDescent="0.25">
      <c r="A62" s="3">
        <v>53.273353938361304</v>
      </c>
      <c r="B62" s="3">
        <v>50.911657001971101</v>
      </c>
      <c r="I62">
        <v>49.400949857148802</v>
      </c>
      <c r="J62">
        <v>56.4637822529359</v>
      </c>
      <c r="K62">
        <v>64.5585933385766</v>
      </c>
      <c r="P62" s="3">
        <v>64.169008458094794</v>
      </c>
      <c r="Q62" s="3">
        <v>4.4000000000000004</v>
      </c>
      <c r="R62" s="3">
        <v>94</v>
      </c>
      <c r="S62" s="3">
        <v>29</v>
      </c>
      <c r="T62" s="3">
        <v>67.489999999999995</v>
      </c>
    </row>
    <row r="63" spans="1:20" x14ac:dyDescent="0.25">
      <c r="A63">
        <v>55.013939205387501</v>
      </c>
      <c r="B63">
        <v>68.578562565562393</v>
      </c>
      <c r="I63" s="3">
        <v>59.615229399779103</v>
      </c>
      <c r="J63" s="7">
        <v>61.131552892366997</v>
      </c>
      <c r="K63" s="3">
        <v>40.5044655649587</v>
      </c>
      <c r="P63">
        <v>59.554343703511499</v>
      </c>
      <c r="Q63">
        <v>6.4</v>
      </c>
      <c r="R63">
        <v>83</v>
      </c>
      <c r="S63">
        <v>26</v>
      </c>
      <c r="T63">
        <v>70.260000000000005</v>
      </c>
    </row>
    <row r="64" spans="1:20" x14ac:dyDescent="0.25">
      <c r="A64" s="3">
        <v>41.381244407005902</v>
      </c>
      <c r="B64" s="3">
        <v>53.476408870659803</v>
      </c>
      <c r="I64">
        <v>46.551698538011003</v>
      </c>
      <c r="K64">
        <v>50.487121880632102</v>
      </c>
      <c r="P64" s="3">
        <v>53.494472246366698</v>
      </c>
      <c r="Q64" s="3">
        <v>8.5</v>
      </c>
      <c r="R64" s="3">
        <v>95</v>
      </c>
      <c r="S64" s="3">
        <v>13</v>
      </c>
      <c r="T64" s="3">
        <v>89.43</v>
      </c>
    </row>
    <row r="65" spans="1:20" x14ac:dyDescent="0.25">
      <c r="A65">
        <v>43.109132241888602</v>
      </c>
      <c r="B65">
        <v>49.398098264473902</v>
      </c>
      <c r="I65" s="3">
        <v>58.341446706602198</v>
      </c>
      <c r="K65" s="3">
        <v>60.160242686674302</v>
      </c>
      <c r="P65">
        <v>55.379274436206998</v>
      </c>
      <c r="Q65">
        <v>6.2</v>
      </c>
      <c r="R65">
        <v>75</v>
      </c>
      <c r="S65">
        <v>23</v>
      </c>
      <c r="T65">
        <v>65</v>
      </c>
    </row>
    <row r="66" spans="1:20" x14ac:dyDescent="0.25">
      <c r="A66" s="3">
        <v>48.1764789252234</v>
      </c>
      <c r="B66" s="3">
        <v>60.068556696729203</v>
      </c>
      <c r="I66">
        <v>46.4708439387665</v>
      </c>
      <c r="K66">
        <v>48.236774223649299</v>
      </c>
      <c r="P66" s="3">
        <v>46.423512923238398</v>
      </c>
      <c r="Q66" s="3">
        <v>7.4</v>
      </c>
      <c r="R66" s="3">
        <v>60</v>
      </c>
      <c r="S66" s="3">
        <v>17</v>
      </c>
      <c r="T66" s="3">
        <v>93.76</v>
      </c>
    </row>
    <row r="67" spans="1:20" x14ac:dyDescent="0.25">
      <c r="A67">
        <v>55.693569861681901</v>
      </c>
      <c r="B67">
        <v>58.5788930596093</v>
      </c>
      <c r="I67" s="3">
        <v>52.635258069848803</v>
      </c>
      <c r="K67" s="3">
        <v>40.048486608863698</v>
      </c>
      <c r="P67">
        <v>46.360473324748497</v>
      </c>
      <c r="Q67">
        <v>4.9000000000000004</v>
      </c>
      <c r="R67">
        <v>73</v>
      </c>
      <c r="S67">
        <v>6</v>
      </c>
      <c r="T67">
        <v>77.47</v>
      </c>
    </row>
    <row r="68" spans="1:20" x14ac:dyDescent="0.25">
      <c r="A68" s="3">
        <v>40</v>
      </c>
      <c r="B68" s="3">
        <v>59.6479367475714</v>
      </c>
      <c r="I68">
        <v>48.175694056127703</v>
      </c>
      <c r="K68">
        <v>59.984998731463499</v>
      </c>
      <c r="P68" s="3">
        <v>56.497080030284998</v>
      </c>
      <c r="Q68" s="3">
        <v>5.2</v>
      </c>
      <c r="R68" s="3">
        <v>76</v>
      </c>
      <c r="S68" s="3">
        <v>29</v>
      </c>
      <c r="T68" s="3">
        <v>91.06</v>
      </c>
    </row>
    <row r="69" spans="1:20" x14ac:dyDescent="0.25">
      <c r="A69">
        <v>50.487110035566502</v>
      </c>
      <c r="B69">
        <v>40</v>
      </c>
      <c r="I69" s="3">
        <v>42.806483971434197</v>
      </c>
      <c r="K69" s="3">
        <v>60.072646497628199</v>
      </c>
      <c r="P69">
        <v>40</v>
      </c>
      <c r="Q69">
        <v>6.1</v>
      </c>
      <c r="R69">
        <v>58</v>
      </c>
      <c r="S69">
        <v>13</v>
      </c>
      <c r="T69">
        <v>66.55</v>
      </c>
    </row>
    <row r="70" spans="1:20" x14ac:dyDescent="0.25">
      <c r="A70" s="3">
        <v>49.473501185516596</v>
      </c>
      <c r="B70" s="3">
        <v>57.0965235013932</v>
      </c>
      <c r="I70">
        <v>56.420819995386204</v>
      </c>
      <c r="K70">
        <v>54.677353430691902</v>
      </c>
      <c r="P70" s="3">
        <v>45.469367263613897</v>
      </c>
      <c r="Q70" s="3">
        <v>5.6</v>
      </c>
      <c r="R70" s="3">
        <v>58</v>
      </c>
      <c r="S70" s="3">
        <v>19</v>
      </c>
      <c r="T70" s="3">
        <v>72.319999999999993</v>
      </c>
    </row>
    <row r="71" spans="1:20" x14ac:dyDescent="0.25">
      <c r="A71">
        <v>45.690764048346097</v>
      </c>
      <c r="B71">
        <v>45.804313848025799</v>
      </c>
      <c r="I71" s="3">
        <v>40</v>
      </c>
      <c r="K71" s="3">
        <v>58.146849220519798</v>
      </c>
      <c r="P71">
        <v>49.252766263942</v>
      </c>
      <c r="Q71">
        <v>7.2</v>
      </c>
      <c r="R71">
        <v>93</v>
      </c>
      <c r="S71">
        <v>22</v>
      </c>
      <c r="T71">
        <v>67.48</v>
      </c>
    </row>
    <row r="72" spans="1:20" x14ac:dyDescent="0.25">
      <c r="A72" s="3">
        <v>50.378647112003399</v>
      </c>
      <c r="B72" s="3">
        <v>53.656953654852401</v>
      </c>
      <c r="I72">
        <v>51.403458947314498</v>
      </c>
      <c r="K72">
        <v>50.104302728168797</v>
      </c>
      <c r="P72" s="3">
        <v>52.608381494519101</v>
      </c>
      <c r="Q72" s="3">
        <v>8.1</v>
      </c>
      <c r="R72" s="3">
        <v>75</v>
      </c>
      <c r="S72" s="3">
        <v>14</v>
      </c>
      <c r="T72" s="3">
        <v>71.290000000000006</v>
      </c>
    </row>
    <row r="73" spans="1:20" x14ac:dyDescent="0.25">
      <c r="A73">
        <v>50.263034634979697</v>
      </c>
      <c r="B73">
        <v>54.370675810202997</v>
      </c>
      <c r="I73" s="3">
        <v>58.659788283020397</v>
      </c>
      <c r="K73" s="7">
        <v>61.6617898382475</v>
      </c>
      <c r="P73">
        <v>48.779510698386602</v>
      </c>
      <c r="Q73">
        <v>5.8</v>
      </c>
      <c r="R73">
        <v>84</v>
      </c>
      <c r="S73">
        <v>20</v>
      </c>
      <c r="T73">
        <v>78.45</v>
      </c>
    </row>
    <row r="74" spans="1:20" x14ac:dyDescent="0.25">
      <c r="A74" s="3">
        <v>41.389470493278999</v>
      </c>
      <c r="B74" s="3">
        <v>55.584739755073002</v>
      </c>
      <c r="I74">
        <v>56.956605230140198</v>
      </c>
      <c r="P74" s="3">
        <v>46.640868416553602</v>
      </c>
      <c r="Q74" s="3">
        <v>7.8</v>
      </c>
      <c r="R74" s="3">
        <v>48</v>
      </c>
      <c r="S74" s="3">
        <v>19</v>
      </c>
      <c r="T74" s="3">
        <v>82.2</v>
      </c>
    </row>
    <row r="75" spans="1:20" x14ac:dyDescent="0.25">
      <c r="A75">
        <v>46.658362846051403</v>
      </c>
      <c r="B75">
        <v>64.250142956814202</v>
      </c>
      <c r="I75" s="3">
        <v>57.422006206133197</v>
      </c>
      <c r="P75">
        <v>44.767390511420899</v>
      </c>
      <c r="Q75">
        <v>5.4</v>
      </c>
      <c r="R75">
        <v>56</v>
      </c>
      <c r="S75">
        <v>6</v>
      </c>
      <c r="T75">
        <v>97.06</v>
      </c>
    </row>
    <row r="76" spans="1:20" x14ac:dyDescent="0.25">
      <c r="A76" s="3">
        <v>41.323351630455697</v>
      </c>
      <c r="B76" s="3">
        <v>50.751463975015398</v>
      </c>
      <c r="I76">
        <v>57.351695195846702</v>
      </c>
      <c r="P76" s="3">
        <v>56.531946666326697</v>
      </c>
      <c r="Q76" s="3">
        <v>6</v>
      </c>
      <c r="R76" s="3">
        <v>88</v>
      </c>
      <c r="S76" s="3">
        <v>3</v>
      </c>
      <c r="T76" s="3">
        <v>86.95</v>
      </c>
    </row>
    <row r="77" spans="1:20" x14ac:dyDescent="0.25">
      <c r="A77">
        <v>54.836766425857803</v>
      </c>
      <c r="B77">
        <v>40</v>
      </c>
      <c r="I77" s="3">
        <v>51.376385889613303</v>
      </c>
      <c r="P77">
        <v>54.9609692835079</v>
      </c>
      <c r="Q77">
        <v>4.2</v>
      </c>
      <c r="R77">
        <v>91</v>
      </c>
      <c r="S77">
        <v>14</v>
      </c>
      <c r="T77">
        <v>89.73</v>
      </c>
    </row>
    <row r="78" spans="1:20" x14ac:dyDescent="0.25">
      <c r="A78" s="3">
        <v>55.073614210009303</v>
      </c>
      <c r="B78" s="3">
        <v>58.966550561905699</v>
      </c>
      <c r="I78">
        <v>40.169603550952701</v>
      </c>
      <c r="P78" s="3">
        <v>48.529102174259997</v>
      </c>
      <c r="Q78" s="3">
        <v>4.7</v>
      </c>
      <c r="R78" s="3">
        <v>89</v>
      </c>
      <c r="S78" s="3">
        <v>28</v>
      </c>
      <c r="T78" s="3">
        <v>67.87</v>
      </c>
    </row>
    <row r="79" spans="1:20" x14ac:dyDescent="0.25">
      <c r="A79">
        <v>52.2679743617852</v>
      </c>
      <c r="B79">
        <v>66.739606398030404</v>
      </c>
      <c r="I79" s="7">
        <v>61.970290692819098</v>
      </c>
      <c r="P79">
        <v>51.5030414411358</v>
      </c>
      <c r="Q79">
        <v>4.5999999999999996</v>
      </c>
      <c r="R79">
        <v>96</v>
      </c>
      <c r="S79">
        <v>10</v>
      </c>
      <c r="T79">
        <v>75.040000000000006</v>
      </c>
    </row>
    <row r="80" spans="1:20" x14ac:dyDescent="0.25">
      <c r="A80" s="3">
        <v>49.650183265610103</v>
      </c>
      <c r="B80" s="3">
        <v>42.932271092891</v>
      </c>
      <c r="P80" s="3">
        <v>52.446167902493002</v>
      </c>
      <c r="Q80" s="3">
        <v>6.9</v>
      </c>
      <c r="R80" s="3">
        <v>75</v>
      </c>
      <c r="S80" s="3">
        <v>3</v>
      </c>
      <c r="T80" s="3">
        <v>99.71</v>
      </c>
    </row>
    <row r="81" spans="1:20" x14ac:dyDescent="0.25">
      <c r="A81">
        <v>40.876037421853098</v>
      </c>
      <c r="B81">
        <v>63.977761032732701</v>
      </c>
      <c r="P81">
        <v>60.105876977983698</v>
      </c>
      <c r="Q81">
        <v>7.1</v>
      </c>
      <c r="R81">
        <v>88</v>
      </c>
      <c r="S81">
        <v>19</v>
      </c>
      <c r="T81">
        <v>84.61</v>
      </c>
    </row>
    <row r="82" spans="1:20" x14ac:dyDescent="0.25">
      <c r="A82" s="3">
        <v>66.221668308212003</v>
      </c>
      <c r="B82" s="3">
        <v>62.334732681201899</v>
      </c>
      <c r="P82" s="3">
        <v>40</v>
      </c>
      <c r="Q82" s="3">
        <v>4.3</v>
      </c>
      <c r="R82" s="3">
        <v>45</v>
      </c>
      <c r="S82" s="3">
        <v>25</v>
      </c>
      <c r="T82" s="3">
        <v>92.57</v>
      </c>
    </row>
    <row r="83" spans="1:20" x14ac:dyDescent="0.25">
      <c r="A83">
        <v>46.591645529742102</v>
      </c>
      <c r="B83">
        <v>43.754870345507499</v>
      </c>
      <c r="P83">
        <v>50.654939700102197</v>
      </c>
      <c r="Q83">
        <v>6.8</v>
      </c>
      <c r="R83">
        <v>74</v>
      </c>
      <c r="S83">
        <v>4</v>
      </c>
      <c r="T83">
        <v>66.14</v>
      </c>
    </row>
    <row r="84" spans="1:20" x14ac:dyDescent="0.25">
      <c r="A84" s="3">
        <v>62.554485436535401</v>
      </c>
      <c r="B84" s="3">
        <v>40</v>
      </c>
      <c r="P84" s="3">
        <v>44.992810017019401</v>
      </c>
      <c r="Q84" s="3">
        <v>7.8</v>
      </c>
      <c r="R84" s="3">
        <v>69</v>
      </c>
      <c r="S84" s="3">
        <v>13</v>
      </c>
      <c r="T84" s="3">
        <v>67.94</v>
      </c>
    </row>
    <row r="85" spans="1:20" x14ac:dyDescent="0.25">
      <c r="A85">
        <v>44.082245607836803</v>
      </c>
      <c r="B85">
        <v>40</v>
      </c>
      <c r="P85">
        <v>40</v>
      </c>
      <c r="Q85">
        <v>6.5</v>
      </c>
      <c r="R85">
        <v>60</v>
      </c>
      <c r="S85">
        <v>26</v>
      </c>
      <c r="T85">
        <v>68.819999999999993</v>
      </c>
    </row>
    <row r="86" spans="1:20" x14ac:dyDescent="0.25">
      <c r="A86" s="3">
        <v>45.935604894719702</v>
      </c>
      <c r="B86" s="3">
        <v>49.709010536253501</v>
      </c>
      <c r="P86" s="3">
        <v>58.754339230461802</v>
      </c>
      <c r="Q86" s="3">
        <v>6.3</v>
      </c>
      <c r="R86" s="3">
        <v>98</v>
      </c>
      <c r="S86" s="3">
        <v>17</v>
      </c>
      <c r="T86" s="3">
        <v>65.540000000000006</v>
      </c>
    </row>
    <row r="87" spans="1:20" x14ac:dyDescent="0.25">
      <c r="A87">
        <v>55.483143664341398</v>
      </c>
      <c r="B87">
        <v>55.9703717900816</v>
      </c>
      <c r="P87">
        <v>62.490228726242897</v>
      </c>
      <c r="Q87">
        <v>7.2</v>
      </c>
      <c r="R87">
        <v>97</v>
      </c>
      <c r="S87">
        <v>27</v>
      </c>
      <c r="T87">
        <v>97.27</v>
      </c>
    </row>
    <row r="88" spans="1:20" x14ac:dyDescent="0.25">
      <c r="A88" s="3">
        <v>58.121029820901299</v>
      </c>
      <c r="B88" s="3">
        <v>40</v>
      </c>
      <c r="P88" s="3">
        <v>54.286774629236703</v>
      </c>
      <c r="Q88" s="3">
        <v>5.9</v>
      </c>
      <c r="R88" s="3">
        <v>81</v>
      </c>
      <c r="S88" s="3">
        <v>10</v>
      </c>
      <c r="T88" s="3">
        <v>73.88</v>
      </c>
    </row>
    <row r="89" spans="1:20" x14ac:dyDescent="0.25">
      <c r="A89">
        <v>40</v>
      </c>
      <c r="B89">
        <v>40</v>
      </c>
      <c r="P89">
        <v>47.000767486343797</v>
      </c>
      <c r="Q89">
        <v>7</v>
      </c>
      <c r="R89">
        <v>55</v>
      </c>
      <c r="S89">
        <v>13</v>
      </c>
      <c r="T89">
        <v>99.88</v>
      </c>
    </row>
    <row r="90" spans="1:20" x14ac:dyDescent="0.25">
      <c r="A90" s="3">
        <v>46.470873718837602</v>
      </c>
      <c r="B90" s="3">
        <v>40</v>
      </c>
      <c r="P90" s="3">
        <v>61.818449415933401</v>
      </c>
      <c r="Q90" s="3">
        <v>8.6</v>
      </c>
      <c r="R90" s="3">
        <v>96</v>
      </c>
      <c r="S90" s="3">
        <v>15</v>
      </c>
      <c r="T90" s="3">
        <v>90.83</v>
      </c>
    </row>
    <row r="91" spans="1:20" x14ac:dyDescent="0.25">
      <c r="A91">
        <v>50.413758915555803</v>
      </c>
      <c r="B91">
        <v>54.0449996134939</v>
      </c>
      <c r="P91">
        <v>54.409730448324602</v>
      </c>
      <c r="Q91">
        <v>8.3000000000000007</v>
      </c>
      <c r="R91">
        <v>87</v>
      </c>
      <c r="S91">
        <v>21</v>
      </c>
      <c r="T91">
        <v>73.77</v>
      </c>
    </row>
    <row r="92" spans="1:20" x14ac:dyDescent="0.25">
      <c r="A92" s="3">
        <v>55.135028993901699</v>
      </c>
      <c r="B92" s="3">
        <v>52.913180995371803</v>
      </c>
      <c r="P92" s="3">
        <v>73.158164421892295</v>
      </c>
      <c r="Q92" s="3">
        <v>7.7</v>
      </c>
      <c r="R92" s="3">
        <v>98</v>
      </c>
      <c r="S92" s="3">
        <v>28</v>
      </c>
      <c r="T92" s="3">
        <v>99.71</v>
      </c>
    </row>
    <row r="93" spans="1:20" x14ac:dyDescent="0.25">
      <c r="A93">
        <v>69.906103885831001</v>
      </c>
      <c r="B93">
        <v>42.455830445516597</v>
      </c>
      <c r="P93">
        <v>40</v>
      </c>
      <c r="Q93">
        <v>8.4</v>
      </c>
      <c r="R93">
        <v>47</v>
      </c>
      <c r="S93">
        <v>5</v>
      </c>
      <c r="T93">
        <v>95.4</v>
      </c>
    </row>
    <row r="94" spans="1:20" x14ac:dyDescent="0.25">
      <c r="A94" s="3">
        <v>40</v>
      </c>
      <c r="B94" s="3">
        <v>53.536824421483502</v>
      </c>
      <c r="P94" s="3">
        <v>61.235429035273398</v>
      </c>
      <c r="Q94" s="3">
        <v>5.5</v>
      </c>
      <c r="R94" s="3">
        <v>97</v>
      </c>
      <c r="S94" s="3">
        <v>22</v>
      </c>
      <c r="T94" s="3">
        <v>70.77</v>
      </c>
    </row>
    <row r="95" spans="1:20" x14ac:dyDescent="0.25">
      <c r="A95">
        <v>51.973405566182599</v>
      </c>
      <c r="B95">
        <v>53.0379227595554</v>
      </c>
      <c r="P95">
        <v>51.607740723523698</v>
      </c>
      <c r="Q95">
        <v>7.8</v>
      </c>
      <c r="R95">
        <v>77</v>
      </c>
      <c r="S95">
        <v>21</v>
      </c>
      <c r="T95">
        <v>71.489999999999995</v>
      </c>
    </row>
    <row r="96" spans="1:20" x14ac:dyDescent="0.25">
      <c r="A96" s="3">
        <v>53.081990375940499</v>
      </c>
      <c r="B96" s="3">
        <v>49.433663093256499</v>
      </c>
      <c r="P96" s="3">
        <v>43.294811503164901</v>
      </c>
      <c r="Q96" s="3">
        <v>5.5</v>
      </c>
      <c r="R96" s="3">
        <v>61</v>
      </c>
      <c r="S96" s="3">
        <v>21</v>
      </c>
      <c r="T96" s="3">
        <v>88.81</v>
      </c>
    </row>
    <row r="97" spans="1:20" x14ac:dyDescent="0.25">
      <c r="A97">
        <v>47.603133163983898</v>
      </c>
      <c r="B97">
        <v>41.3938216709182</v>
      </c>
      <c r="P97">
        <v>49.571325687557298</v>
      </c>
      <c r="Q97">
        <v>6.6</v>
      </c>
      <c r="R97">
        <v>85</v>
      </c>
      <c r="S97">
        <v>8</v>
      </c>
      <c r="T97">
        <v>67.739999999999995</v>
      </c>
    </row>
    <row r="98" spans="1:20" x14ac:dyDescent="0.25">
      <c r="A98" s="3">
        <v>40</v>
      </c>
      <c r="B98" s="3">
        <v>53.667832802137703</v>
      </c>
      <c r="P98" s="3">
        <v>41.161004635764002</v>
      </c>
      <c r="Q98" s="3">
        <v>6.4</v>
      </c>
      <c r="R98" s="3">
        <v>60</v>
      </c>
      <c r="S98" s="3">
        <v>16</v>
      </c>
      <c r="T98" s="3">
        <v>85.46</v>
      </c>
    </row>
    <row r="99" spans="1:20" x14ac:dyDescent="0.25">
      <c r="A99">
        <v>55.868629460027599</v>
      </c>
      <c r="B99">
        <v>51.649063613753803</v>
      </c>
      <c r="P99">
        <v>60.968159972703802</v>
      </c>
      <c r="Q99">
        <v>4.2</v>
      </c>
      <c r="R99">
        <v>79</v>
      </c>
      <c r="S99">
        <v>19</v>
      </c>
      <c r="T99">
        <v>67.33</v>
      </c>
    </row>
    <row r="100" spans="1:20" x14ac:dyDescent="0.25">
      <c r="A100" s="3">
        <v>40</v>
      </c>
      <c r="B100" s="3">
        <v>42.2882450146355</v>
      </c>
      <c r="P100" s="3">
        <v>46.829584866100397</v>
      </c>
      <c r="Q100" s="3">
        <v>6.9</v>
      </c>
      <c r="R100" s="3">
        <v>62</v>
      </c>
      <c r="S100" s="3">
        <v>8</v>
      </c>
      <c r="T100" s="3">
        <v>72.75</v>
      </c>
    </row>
    <row r="101" spans="1:20" x14ac:dyDescent="0.25">
      <c r="A101">
        <v>40</v>
      </c>
      <c r="B101">
        <v>40</v>
      </c>
      <c r="P101">
        <v>40</v>
      </c>
      <c r="Q101">
        <v>6.5</v>
      </c>
      <c r="R101">
        <v>52</v>
      </c>
      <c r="S101">
        <v>4</v>
      </c>
      <c r="T101">
        <v>98.2</v>
      </c>
    </row>
    <row r="102" spans="1:20" x14ac:dyDescent="0.25">
      <c r="A102" s="3">
        <v>40</v>
      </c>
      <c r="B102" s="3">
        <v>56.900087549353003</v>
      </c>
      <c r="P102" s="3">
        <v>42.1370065622054</v>
      </c>
      <c r="Q102" s="3">
        <v>6.6</v>
      </c>
      <c r="R102" s="3">
        <v>63</v>
      </c>
      <c r="S102" s="3">
        <v>9</v>
      </c>
      <c r="T102" s="3">
        <v>82.45</v>
      </c>
    </row>
    <row r="103" spans="1:20" x14ac:dyDescent="0.25">
      <c r="A103">
        <v>52.521927634365902</v>
      </c>
      <c r="B103">
        <v>44.717779582302903</v>
      </c>
      <c r="P103">
        <v>57.963951620399101</v>
      </c>
      <c r="Q103">
        <v>4.2</v>
      </c>
      <c r="R103">
        <v>88</v>
      </c>
      <c r="S103">
        <v>9</v>
      </c>
      <c r="T103">
        <v>85.08</v>
      </c>
    </row>
    <row r="104" spans="1:20" x14ac:dyDescent="0.25">
      <c r="A104" s="3">
        <v>52.620345643020997</v>
      </c>
      <c r="B104" s="3">
        <v>45.178702625462101</v>
      </c>
      <c r="P104" s="3">
        <v>56.956721903472904</v>
      </c>
      <c r="Q104" s="3">
        <v>5.9</v>
      </c>
      <c r="R104" s="3">
        <v>89</v>
      </c>
      <c r="S104" s="3">
        <v>2</v>
      </c>
      <c r="T104" s="3">
        <v>74.44</v>
      </c>
    </row>
    <row r="105" spans="1:20" x14ac:dyDescent="0.25">
      <c r="A105">
        <v>54.955289977180698</v>
      </c>
      <c r="B105">
        <v>64.906919177787998</v>
      </c>
      <c r="P105">
        <v>46.439072946367702</v>
      </c>
      <c r="Q105">
        <v>6.1</v>
      </c>
      <c r="R105">
        <v>56</v>
      </c>
      <c r="S105">
        <v>12</v>
      </c>
      <c r="T105">
        <v>80.400000000000006</v>
      </c>
    </row>
    <row r="106" spans="1:20" x14ac:dyDescent="0.25">
      <c r="A106" s="3">
        <v>56.250337012232599</v>
      </c>
      <c r="B106" s="3">
        <v>53.020504254132703</v>
      </c>
      <c r="P106" s="3">
        <v>54.355617111683898</v>
      </c>
      <c r="Q106" s="3">
        <v>7.7</v>
      </c>
      <c r="R106" s="3">
        <v>60</v>
      </c>
      <c r="S106" s="3">
        <v>23</v>
      </c>
      <c r="T106" s="3">
        <v>69.66</v>
      </c>
    </row>
    <row r="107" spans="1:20" x14ac:dyDescent="0.25">
      <c r="A107">
        <v>40</v>
      </c>
      <c r="B107">
        <v>51.687071602623597</v>
      </c>
      <c r="P107">
        <v>54.283456246336002</v>
      </c>
      <c r="Q107">
        <v>7.7</v>
      </c>
      <c r="R107">
        <v>76</v>
      </c>
      <c r="S107">
        <v>22</v>
      </c>
      <c r="T107">
        <v>83.08</v>
      </c>
    </row>
    <row r="108" spans="1:20" x14ac:dyDescent="0.25">
      <c r="A108" s="3">
        <v>54.540725052896697</v>
      </c>
      <c r="B108" s="3">
        <v>57.509135484896497</v>
      </c>
      <c r="P108" s="3">
        <v>43.387219195231602</v>
      </c>
      <c r="Q108" s="3">
        <v>5.9</v>
      </c>
      <c r="R108" s="3">
        <v>53</v>
      </c>
      <c r="S108" s="3">
        <v>8</v>
      </c>
      <c r="T108" s="3">
        <v>66.89</v>
      </c>
    </row>
    <row r="109" spans="1:20" x14ac:dyDescent="0.25">
      <c r="A109">
        <v>53.092806296291997</v>
      </c>
      <c r="B109">
        <v>54.4878447266343</v>
      </c>
      <c r="P109">
        <v>44.142066131211998</v>
      </c>
      <c r="Q109">
        <v>6</v>
      </c>
      <c r="R109">
        <v>81</v>
      </c>
      <c r="S109">
        <v>14</v>
      </c>
      <c r="T109">
        <v>66.69</v>
      </c>
    </row>
    <row r="110" spans="1:20" x14ac:dyDescent="0.25">
      <c r="A110" s="3">
        <v>60.770520233736498</v>
      </c>
      <c r="B110" s="3">
        <v>63.124676923806597</v>
      </c>
      <c r="P110" s="3">
        <v>48.210509455000597</v>
      </c>
      <c r="Q110" s="3">
        <v>7.6</v>
      </c>
      <c r="R110" s="3">
        <v>63</v>
      </c>
      <c r="S110" s="3">
        <v>3</v>
      </c>
      <c r="T110" s="3">
        <v>88.79</v>
      </c>
    </row>
    <row r="111" spans="1:20" x14ac:dyDescent="0.25">
      <c r="A111">
        <v>41.212705915944497</v>
      </c>
      <c r="B111">
        <v>40</v>
      </c>
      <c r="P111">
        <v>40</v>
      </c>
      <c r="Q111">
        <v>6.1</v>
      </c>
      <c r="R111">
        <v>50</v>
      </c>
      <c r="S111">
        <v>3</v>
      </c>
      <c r="T111">
        <v>66.92</v>
      </c>
    </row>
    <row r="112" spans="1:20" x14ac:dyDescent="0.25">
      <c r="A112" s="3">
        <v>71.752315266826102</v>
      </c>
      <c r="B112" s="3">
        <v>59.400152219981997</v>
      </c>
      <c r="P112" s="3">
        <v>49.714643442892203</v>
      </c>
      <c r="Q112" s="3">
        <v>7</v>
      </c>
      <c r="R112" s="3">
        <v>68</v>
      </c>
      <c r="S112" s="3">
        <v>22</v>
      </c>
      <c r="T112" s="3">
        <v>83.24</v>
      </c>
    </row>
    <row r="113" spans="1:20" x14ac:dyDescent="0.25">
      <c r="A113">
        <v>72.746996243427205</v>
      </c>
      <c r="B113">
        <v>43.453633873494297</v>
      </c>
      <c r="P113">
        <v>65.664956161603797</v>
      </c>
      <c r="Q113">
        <v>5.3</v>
      </c>
      <c r="R113">
        <v>97</v>
      </c>
      <c r="S113">
        <v>17</v>
      </c>
      <c r="T113">
        <v>74.31</v>
      </c>
    </row>
    <row r="114" spans="1:20" x14ac:dyDescent="0.25">
      <c r="A114" s="3">
        <v>40.394890710609502</v>
      </c>
      <c r="B114" s="3">
        <v>40</v>
      </c>
      <c r="P114" s="3">
        <v>40</v>
      </c>
      <c r="Q114" s="3">
        <v>4.3</v>
      </c>
      <c r="R114" s="3">
        <v>49</v>
      </c>
      <c r="S114" s="3">
        <v>2</v>
      </c>
      <c r="T114" s="3">
        <v>71.569999999999993</v>
      </c>
    </row>
    <row r="115" spans="1:20" x14ac:dyDescent="0.25">
      <c r="A115">
        <v>44.325369219297698</v>
      </c>
      <c r="B115">
        <v>43.0616026183123</v>
      </c>
      <c r="P115">
        <v>53.273353938361304</v>
      </c>
      <c r="Q115">
        <v>7.5</v>
      </c>
      <c r="R115">
        <v>74</v>
      </c>
      <c r="S115">
        <v>25</v>
      </c>
      <c r="T115">
        <v>85.07</v>
      </c>
    </row>
    <row r="116" spans="1:20" x14ac:dyDescent="0.25">
      <c r="A116" s="3">
        <v>59.615443765019997</v>
      </c>
      <c r="B116" s="3">
        <v>50.626245515571</v>
      </c>
      <c r="P116" s="3">
        <v>49.437150817014299</v>
      </c>
      <c r="Q116" s="3">
        <v>7.3</v>
      </c>
      <c r="R116" s="3">
        <v>48</v>
      </c>
      <c r="S116" s="3">
        <v>8</v>
      </c>
      <c r="T116" s="3">
        <v>75.38</v>
      </c>
    </row>
    <row r="117" spans="1:20" x14ac:dyDescent="0.25">
      <c r="A117">
        <v>57.753262285555103</v>
      </c>
      <c r="B117">
        <v>56.226374653341203</v>
      </c>
      <c r="P117">
        <v>64.288148493903094</v>
      </c>
      <c r="Q117">
        <v>4.4000000000000004</v>
      </c>
      <c r="R117">
        <v>85</v>
      </c>
      <c r="S117">
        <v>26</v>
      </c>
      <c r="T117">
        <v>80.97</v>
      </c>
    </row>
    <row r="118" spans="1:20" x14ac:dyDescent="0.25">
      <c r="A118" s="3">
        <v>63.531174328049502</v>
      </c>
      <c r="B118" s="3">
        <v>49.919213121944097</v>
      </c>
      <c r="P118" s="3">
        <v>42.063153531263602</v>
      </c>
      <c r="Q118" s="3">
        <v>4.0999999999999996</v>
      </c>
      <c r="R118" s="3">
        <v>69</v>
      </c>
      <c r="S118" s="3">
        <v>9</v>
      </c>
      <c r="T118" s="3">
        <v>69.86</v>
      </c>
    </row>
    <row r="119" spans="1:20" x14ac:dyDescent="0.25">
      <c r="A119">
        <v>42.183143807337601</v>
      </c>
      <c r="B119">
        <v>41.510480281229597</v>
      </c>
      <c r="P119">
        <v>41.771778856826998</v>
      </c>
      <c r="Q119">
        <v>4</v>
      </c>
      <c r="R119">
        <v>94</v>
      </c>
      <c r="S119">
        <v>8</v>
      </c>
      <c r="T119">
        <v>69.430000000000007</v>
      </c>
    </row>
    <row r="120" spans="1:20" x14ac:dyDescent="0.25">
      <c r="A120" s="3">
        <v>58.034885768310403</v>
      </c>
      <c r="B120" s="3">
        <v>56.862072227524699</v>
      </c>
      <c r="P120" s="3">
        <v>40</v>
      </c>
      <c r="Q120" s="3">
        <v>4.5999999999999996</v>
      </c>
      <c r="R120" s="3">
        <v>45</v>
      </c>
      <c r="S120" s="3">
        <v>16</v>
      </c>
      <c r="T120" s="3">
        <v>68.73</v>
      </c>
    </row>
    <row r="121" spans="1:20" x14ac:dyDescent="0.25">
      <c r="A121">
        <v>60.248578873819397</v>
      </c>
      <c r="B121">
        <v>40</v>
      </c>
      <c r="P121">
        <v>40</v>
      </c>
      <c r="Q121">
        <v>5.0999999999999996</v>
      </c>
      <c r="R121">
        <v>58</v>
      </c>
      <c r="S121">
        <v>10</v>
      </c>
      <c r="T121">
        <v>67.5</v>
      </c>
    </row>
    <row r="122" spans="1:20" x14ac:dyDescent="0.25">
      <c r="A122" s="3">
        <v>62.610995759248702</v>
      </c>
      <c r="B122" s="3">
        <v>42.7627206086228</v>
      </c>
      <c r="P122" s="3">
        <v>52.443306726782502</v>
      </c>
      <c r="Q122" s="3">
        <v>8.3000000000000007</v>
      </c>
      <c r="R122" s="3">
        <v>87</v>
      </c>
      <c r="S122" s="3">
        <v>13</v>
      </c>
      <c r="T122" s="3">
        <v>84.38</v>
      </c>
    </row>
    <row r="123" spans="1:20" x14ac:dyDescent="0.25">
      <c r="A123">
        <v>68.231833913228996</v>
      </c>
      <c r="B123">
        <v>56.318125430913902</v>
      </c>
      <c r="P123">
        <v>55.013939205387501</v>
      </c>
      <c r="Q123">
        <v>6.2</v>
      </c>
      <c r="R123">
        <v>83</v>
      </c>
      <c r="S123">
        <v>20</v>
      </c>
      <c r="T123">
        <v>91.46</v>
      </c>
    </row>
    <row r="124" spans="1:20" x14ac:dyDescent="0.25">
      <c r="A124" s="3">
        <v>55.8996297348057</v>
      </c>
      <c r="B124" s="3">
        <v>67.482317539301206</v>
      </c>
      <c r="P124" s="3">
        <v>50.911657001971101</v>
      </c>
      <c r="Q124" s="3">
        <v>7.3</v>
      </c>
      <c r="R124" s="3">
        <v>61</v>
      </c>
      <c r="S124" s="3">
        <v>24</v>
      </c>
      <c r="T124" s="3">
        <v>92.73</v>
      </c>
    </row>
    <row r="125" spans="1:20" x14ac:dyDescent="0.25">
      <c r="A125">
        <v>58.121238460950998</v>
      </c>
      <c r="B125">
        <v>49.881271493030603</v>
      </c>
      <c r="P125">
        <v>68.578562565562393</v>
      </c>
      <c r="Q125">
        <v>8.8000000000000007</v>
      </c>
      <c r="R125">
        <v>84</v>
      </c>
      <c r="S125">
        <v>29</v>
      </c>
      <c r="T125">
        <v>98.52</v>
      </c>
    </row>
    <row r="126" spans="1:20" x14ac:dyDescent="0.25">
      <c r="A126" s="3">
        <v>40</v>
      </c>
      <c r="B126" s="3">
        <v>40</v>
      </c>
      <c r="P126" s="3">
        <v>53.476408870659803</v>
      </c>
      <c r="Q126" s="3">
        <v>6.2</v>
      </c>
      <c r="R126" s="3">
        <v>94</v>
      </c>
      <c r="S126" s="3">
        <v>22</v>
      </c>
      <c r="T126" s="3">
        <v>70.89</v>
      </c>
    </row>
    <row r="127" spans="1:20" x14ac:dyDescent="0.25">
      <c r="A127">
        <v>65.480998740538993</v>
      </c>
      <c r="B127">
        <v>40</v>
      </c>
      <c r="P127">
        <v>49.398098264473902</v>
      </c>
      <c r="Q127">
        <v>8</v>
      </c>
      <c r="R127">
        <v>76</v>
      </c>
      <c r="S127">
        <v>18</v>
      </c>
      <c r="T127">
        <v>69.75</v>
      </c>
    </row>
    <row r="128" spans="1:20" x14ac:dyDescent="0.25">
      <c r="A128" s="3">
        <v>54.634661343178301</v>
      </c>
      <c r="B128" s="3">
        <v>44.522523468862097</v>
      </c>
      <c r="P128" s="3">
        <v>41.381244407005902</v>
      </c>
      <c r="Q128" s="3">
        <v>5.9</v>
      </c>
      <c r="R128" s="3">
        <v>60</v>
      </c>
      <c r="S128" s="3">
        <v>7</v>
      </c>
      <c r="T128" s="3">
        <v>81.45</v>
      </c>
    </row>
    <row r="129" spans="1:20" x14ac:dyDescent="0.25">
      <c r="A129">
        <v>68.982321412869993</v>
      </c>
      <c r="B129">
        <v>75.579391125995798</v>
      </c>
      <c r="P129">
        <v>43.109132241888602</v>
      </c>
      <c r="Q129">
        <v>7.7</v>
      </c>
      <c r="R129">
        <v>63</v>
      </c>
      <c r="S129">
        <v>10</v>
      </c>
      <c r="T129">
        <v>95.14</v>
      </c>
    </row>
    <row r="130" spans="1:20" x14ac:dyDescent="0.25">
      <c r="A130" s="3">
        <v>45.478075985400999</v>
      </c>
      <c r="B130" s="3">
        <v>63.403415016807799</v>
      </c>
      <c r="P130" s="3">
        <v>48.1764789252234</v>
      </c>
      <c r="Q130" s="3">
        <v>5.3</v>
      </c>
      <c r="R130" s="3">
        <v>65</v>
      </c>
      <c r="S130" s="3">
        <v>8</v>
      </c>
      <c r="T130" s="3">
        <v>91.85</v>
      </c>
    </row>
    <row r="131" spans="1:20" x14ac:dyDescent="0.25">
      <c r="A131">
        <v>46.550509200244001</v>
      </c>
      <c r="B131">
        <v>40</v>
      </c>
      <c r="P131">
        <v>60.068556696729203</v>
      </c>
      <c r="Q131">
        <v>8.4</v>
      </c>
      <c r="R131">
        <v>73</v>
      </c>
      <c r="S131">
        <v>17</v>
      </c>
      <c r="T131">
        <v>84.54</v>
      </c>
    </row>
    <row r="132" spans="1:20" x14ac:dyDescent="0.25">
      <c r="A132" s="3">
        <v>57.197022137108803</v>
      </c>
      <c r="B132" s="3">
        <v>48.264893523263297</v>
      </c>
      <c r="P132" s="3">
        <v>58.5788930596093</v>
      </c>
      <c r="Q132" s="3">
        <v>4.3</v>
      </c>
      <c r="R132" s="3">
        <v>87</v>
      </c>
      <c r="S132" s="3">
        <v>22</v>
      </c>
      <c r="T132" s="3">
        <v>70.489999999999995</v>
      </c>
    </row>
    <row r="133" spans="1:20" x14ac:dyDescent="0.25">
      <c r="A133">
        <v>57.547610541679703</v>
      </c>
      <c r="B133">
        <v>50.858032262192097</v>
      </c>
      <c r="P133">
        <v>55.693569861681901</v>
      </c>
      <c r="Q133">
        <v>6.3</v>
      </c>
      <c r="R133">
        <v>96</v>
      </c>
      <c r="S133">
        <v>4</v>
      </c>
      <c r="T133">
        <v>78.69</v>
      </c>
    </row>
    <row r="134" spans="1:20" x14ac:dyDescent="0.25">
      <c r="A134" s="3">
        <v>40</v>
      </c>
      <c r="B134" s="3">
        <v>41.212668785805597</v>
      </c>
      <c r="P134" s="3">
        <v>40</v>
      </c>
      <c r="Q134" s="3">
        <v>8.9</v>
      </c>
      <c r="R134" s="3">
        <v>45</v>
      </c>
      <c r="S134" s="3">
        <v>6</v>
      </c>
      <c r="T134" s="3">
        <v>90.18</v>
      </c>
    </row>
    <row r="135" spans="1:20" x14ac:dyDescent="0.25">
      <c r="A135">
        <v>58.205143964350199</v>
      </c>
      <c r="B135">
        <v>62.411540174613897</v>
      </c>
      <c r="P135">
        <v>59.6479367475714</v>
      </c>
      <c r="Q135">
        <v>4.7</v>
      </c>
      <c r="R135">
        <v>96</v>
      </c>
      <c r="S135">
        <v>18</v>
      </c>
      <c r="T135">
        <v>78.069999999999993</v>
      </c>
    </row>
    <row r="136" spans="1:20" x14ac:dyDescent="0.25">
      <c r="A136" s="3">
        <v>49.125220136063298</v>
      </c>
      <c r="B136" s="3">
        <v>52.521040119231202</v>
      </c>
      <c r="P136" s="3">
        <v>40</v>
      </c>
      <c r="Q136" s="3">
        <v>4.5</v>
      </c>
      <c r="R136" s="3">
        <v>69</v>
      </c>
      <c r="S136" s="3">
        <v>18</v>
      </c>
      <c r="T136" s="3">
        <v>66.37</v>
      </c>
    </row>
    <row r="137" spans="1:20" x14ac:dyDescent="0.25">
      <c r="A137">
        <v>44.996575664458597</v>
      </c>
      <c r="B137">
        <v>41.154639650289703</v>
      </c>
      <c r="P137">
        <v>50.487110035566502</v>
      </c>
      <c r="Q137">
        <v>5.7</v>
      </c>
      <c r="R137">
        <v>67</v>
      </c>
      <c r="S137">
        <v>23</v>
      </c>
      <c r="T137">
        <v>85.44</v>
      </c>
    </row>
    <row r="138" spans="1:20" x14ac:dyDescent="0.25">
      <c r="A138" s="3">
        <v>43.370988972403197</v>
      </c>
      <c r="B138" s="3">
        <v>56.5767786026179</v>
      </c>
      <c r="P138" s="3">
        <v>49.473501185516596</v>
      </c>
      <c r="Q138" s="3">
        <v>4.7</v>
      </c>
      <c r="R138" s="3">
        <v>72</v>
      </c>
      <c r="S138" s="3">
        <v>12</v>
      </c>
      <c r="T138" s="3">
        <v>90.2</v>
      </c>
    </row>
    <row r="139" spans="1:20" x14ac:dyDescent="0.25">
      <c r="A139">
        <v>60.142147960160401</v>
      </c>
      <c r="B139">
        <v>40</v>
      </c>
      <c r="P139">
        <v>45.690764048346097</v>
      </c>
      <c r="Q139">
        <v>7.4</v>
      </c>
      <c r="R139">
        <v>55</v>
      </c>
      <c r="S139">
        <v>11</v>
      </c>
      <c r="T139">
        <v>90.02</v>
      </c>
    </row>
    <row r="140" spans="1:20" x14ac:dyDescent="0.25">
      <c r="A140" s="3">
        <v>58.600188418330703</v>
      </c>
      <c r="B140" s="3">
        <v>61.346040165548999</v>
      </c>
      <c r="P140" s="3">
        <v>57.0965235013932</v>
      </c>
      <c r="Q140" s="3">
        <v>7.1</v>
      </c>
      <c r="R140" s="3">
        <v>94</v>
      </c>
      <c r="S140" s="3">
        <v>2</v>
      </c>
      <c r="T140" s="3">
        <v>70.77</v>
      </c>
    </row>
    <row r="141" spans="1:20" x14ac:dyDescent="0.25">
      <c r="A141">
        <v>47.584736605751402</v>
      </c>
      <c r="B141">
        <v>48.865294537190501</v>
      </c>
      <c r="P141">
        <v>50.378647112003399</v>
      </c>
      <c r="Q141">
        <v>6.6</v>
      </c>
      <c r="R141">
        <v>70</v>
      </c>
      <c r="S141">
        <v>11</v>
      </c>
      <c r="T141">
        <v>76.760000000000005</v>
      </c>
    </row>
    <row r="142" spans="1:20" x14ac:dyDescent="0.25">
      <c r="A142" s="3">
        <v>49.723698279904802</v>
      </c>
      <c r="B142" s="3">
        <v>60.343043711700901</v>
      </c>
      <c r="P142" s="3">
        <v>45.804313848025799</v>
      </c>
      <c r="Q142" s="3">
        <v>8.9</v>
      </c>
      <c r="R142" s="3">
        <v>57</v>
      </c>
      <c r="S142" s="3">
        <v>26</v>
      </c>
      <c r="T142" s="3">
        <v>79.319999999999993</v>
      </c>
    </row>
    <row r="143" spans="1:20" x14ac:dyDescent="0.25">
      <c r="A143">
        <v>57.781816916775298</v>
      </c>
      <c r="B143">
        <v>46.139938753863198</v>
      </c>
      <c r="P143">
        <v>53.656953654852401</v>
      </c>
      <c r="Q143">
        <v>5.6</v>
      </c>
      <c r="R143">
        <v>88</v>
      </c>
      <c r="S143">
        <v>17</v>
      </c>
      <c r="T143">
        <v>79.72</v>
      </c>
    </row>
    <row r="144" spans="1:20" x14ac:dyDescent="0.25">
      <c r="A144" s="3">
        <v>57.116496438070897</v>
      </c>
      <c r="B144" s="3">
        <v>71.347127860564598</v>
      </c>
      <c r="P144" s="3">
        <v>50.263034634979697</v>
      </c>
      <c r="Q144" s="3">
        <v>6.2</v>
      </c>
      <c r="R144" s="3">
        <v>81</v>
      </c>
      <c r="S144" s="3">
        <v>24</v>
      </c>
      <c r="T144" s="3">
        <v>69</v>
      </c>
    </row>
    <row r="145" spans="1:20" x14ac:dyDescent="0.25">
      <c r="A145">
        <v>45.209729043433803</v>
      </c>
      <c r="B145">
        <v>56.655555463644703</v>
      </c>
      <c r="P145">
        <v>41.389470493278999</v>
      </c>
      <c r="Q145">
        <v>6.3</v>
      </c>
      <c r="R145">
        <v>53</v>
      </c>
      <c r="S145">
        <v>28</v>
      </c>
      <c r="T145">
        <v>78.489999999999995</v>
      </c>
    </row>
    <row r="146" spans="1:20" x14ac:dyDescent="0.25">
      <c r="A146" s="3">
        <v>56.724751468281099</v>
      </c>
      <c r="B146" s="3">
        <v>40</v>
      </c>
      <c r="P146" s="3">
        <v>54.370675810202997</v>
      </c>
      <c r="Q146" s="3">
        <v>7.5</v>
      </c>
      <c r="R146" s="3">
        <v>97</v>
      </c>
      <c r="S146" s="3">
        <v>7</v>
      </c>
      <c r="T146" s="3">
        <v>82.73</v>
      </c>
    </row>
    <row r="147" spans="1:20" x14ac:dyDescent="0.25">
      <c r="A147">
        <v>56.152384574367197</v>
      </c>
      <c r="B147">
        <v>58.582755966753503</v>
      </c>
      <c r="P147">
        <v>46.658362846051403</v>
      </c>
      <c r="Q147">
        <v>5.0999999999999996</v>
      </c>
      <c r="R147">
        <v>56</v>
      </c>
      <c r="S147">
        <v>23</v>
      </c>
      <c r="T147">
        <v>89.87</v>
      </c>
    </row>
    <row r="148" spans="1:20" x14ac:dyDescent="0.25">
      <c r="A148" s="3">
        <v>56.053926147251701</v>
      </c>
      <c r="B148" s="3">
        <v>52.100789796221797</v>
      </c>
      <c r="P148" s="3">
        <v>55.584739755073002</v>
      </c>
      <c r="Q148" s="3">
        <v>7.8</v>
      </c>
      <c r="R148" s="3">
        <v>96</v>
      </c>
      <c r="S148" s="3">
        <v>21</v>
      </c>
      <c r="T148" s="3">
        <v>84.93</v>
      </c>
    </row>
    <row r="149" spans="1:20" x14ac:dyDescent="0.25">
      <c r="A149">
        <v>41.0565030357727</v>
      </c>
      <c r="B149">
        <v>41.528283151040696</v>
      </c>
      <c r="P149">
        <v>64.250142956814202</v>
      </c>
      <c r="Q149">
        <v>4.9000000000000004</v>
      </c>
      <c r="R149">
        <v>96</v>
      </c>
      <c r="S149">
        <v>26</v>
      </c>
      <c r="T149">
        <v>79.17</v>
      </c>
    </row>
    <row r="150" spans="1:20" x14ac:dyDescent="0.25">
      <c r="A150" s="3">
        <v>46.752635859996502</v>
      </c>
      <c r="B150" s="3">
        <v>62.323554228966302</v>
      </c>
      <c r="P150" s="3">
        <v>50.751463975015398</v>
      </c>
      <c r="Q150" s="3">
        <v>8.9</v>
      </c>
      <c r="R150" s="3">
        <v>69</v>
      </c>
      <c r="S150" s="3">
        <v>14</v>
      </c>
      <c r="T150" s="3">
        <v>97.47</v>
      </c>
    </row>
    <row r="151" spans="1:20" x14ac:dyDescent="0.25">
      <c r="A151">
        <v>49.116930579674502</v>
      </c>
      <c r="B151">
        <v>40</v>
      </c>
      <c r="P151">
        <v>40</v>
      </c>
      <c r="Q151">
        <v>8.8000000000000007</v>
      </c>
      <c r="R151">
        <v>49</v>
      </c>
      <c r="S151">
        <v>12</v>
      </c>
      <c r="T151">
        <v>85.93</v>
      </c>
    </row>
    <row r="152" spans="1:20" x14ac:dyDescent="0.25">
      <c r="A152" s="3">
        <v>43.5785723551977</v>
      </c>
      <c r="B152" s="3">
        <v>42.572434699380103</v>
      </c>
      <c r="P152" s="3">
        <v>41.323351630455697</v>
      </c>
      <c r="Q152" s="3">
        <v>6</v>
      </c>
      <c r="R152" s="3">
        <v>49</v>
      </c>
      <c r="S152" s="3">
        <v>17</v>
      </c>
      <c r="T152" s="3">
        <v>99.12</v>
      </c>
    </row>
    <row r="153" spans="1:20" x14ac:dyDescent="0.25">
      <c r="A153">
        <v>40</v>
      </c>
      <c r="B153">
        <v>53.864138003037297</v>
      </c>
      <c r="P153">
        <v>58.966550561905699</v>
      </c>
      <c r="Q153">
        <v>8.4</v>
      </c>
      <c r="R153">
        <v>75</v>
      </c>
      <c r="S153">
        <v>19</v>
      </c>
      <c r="T153">
        <v>95.36</v>
      </c>
    </row>
    <row r="154" spans="1:20" x14ac:dyDescent="0.25">
      <c r="A154" s="3">
        <v>44.282752941837202</v>
      </c>
      <c r="B154" s="3">
        <v>61.745045942559898</v>
      </c>
      <c r="P154" s="3">
        <v>54.836766425857803</v>
      </c>
      <c r="Q154" s="3">
        <v>6</v>
      </c>
      <c r="R154" s="3">
        <v>74</v>
      </c>
      <c r="S154" s="3">
        <v>10</v>
      </c>
      <c r="T154" s="3">
        <v>88.58</v>
      </c>
    </row>
    <row r="155" spans="1:20" x14ac:dyDescent="0.25">
      <c r="A155">
        <v>43.846222415164902</v>
      </c>
      <c r="B155">
        <v>40</v>
      </c>
      <c r="P155">
        <v>66.739606398030404</v>
      </c>
      <c r="Q155">
        <v>6.7</v>
      </c>
      <c r="R155">
        <v>73</v>
      </c>
      <c r="S155">
        <v>21</v>
      </c>
      <c r="T155">
        <v>96.48</v>
      </c>
    </row>
    <row r="156" spans="1:20" x14ac:dyDescent="0.25">
      <c r="A156" s="3">
        <v>70.258579015496395</v>
      </c>
      <c r="B156" s="3">
        <v>48.261839594516097</v>
      </c>
      <c r="P156" s="3">
        <v>55.073614210009303</v>
      </c>
      <c r="Q156" s="3">
        <v>7.7</v>
      </c>
      <c r="R156" s="3">
        <v>59</v>
      </c>
      <c r="S156" s="3">
        <v>29</v>
      </c>
      <c r="T156" s="3">
        <v>99.69</v>
      </c>
    </row>
    <row r="157" spans="1:20" x14ac:dyDescent="0.25">
      <c r="A157">
        <v>41.654781189036299</v>
      </c>
      <c r="B157">
        <v>43.815393053054102</v>
      </c>
      <c r="P157">
        <v>52.2679743617852</v>
      </c>
      <c r="Q157">
        <v>7.8</v>
      </c>
      <c r="R157">
        <v>81</v>
      </c>
      <c r="S157">
        <v>29</v>
      </c>
      <c r="T157">
        <v>72.73</v>
      </c>
    </row>
    <row r="158" spans="1:20" x14ac:dyDescent="0.25">
      <c r="A158" s="3">
        <v>43.825654281466498</v>
      </c>
      <c r="B158" s="3">
        <v>49.875478890012602</v>
      </c>
      <c r="P158" s="3">
        <v>42.932271092891</v>
      </c>
      <c r="Q158" s="3">
        <v>8.4</v>
      </c>
      <c r="R158" s="3">
        <v>65</v>
      </c>
      <c r="S158" s="3">
        <v>9</v>
      </c>
      <c r="T158" s="3">
        <v>89.19</v>
      </c>
    </row>
    <row r="159" spans="1:20" x14ac:dyDescent="0.25">
      <c r="A159">
        <v>57.198000528709002</v>
      </c>
      <c r="B159">
        <v>51.618368831527498</v>
      </c>
      <c r="P159">
        <v>63.977761032732701</v>
      </c>
      <c r="Q159">
        <v>6.3</v>
      </c>
      <c r="R159">
        <v>87</v>
      </c>
      <c r="S159">
        <v>26</v>
      </c>
      <c r="T159">
        <v>97.16</v>
      </c>
    </row>
    <row r="160" spans="1:20" x14ac:dyDescent="0.25">
      <c r="A160" s="3">
        <v>48.810521185834602</v>
      </c>
      <c r="B160" s="3">
        <v>49.315112484318497</v>
      </c>
      <c r="P160" s="3">
        <v>49.650183265610103</v>
      </c>
      <c r="Q160" s="3">
        <v>7</v>
      </c>
      <c r="R160" s="3">
        <v>64</v>
      </c>
      <c r="S160" s="3">
        <v>23</v>
      </c>
      <c r="T160" s="3">
        <v>65.61</v>
      </c>
    </row>
    <row r="161" spans="1:20" x14ac:dyDescent="0.25">
      <c r="A161">
        <v>51.455921096490599</v>
      </c>
      <c r="B161">
        <v>54.792113221837297</v>
      </c>
      <c r="P161">
        <v>62.334732681201899</v>
      </c>
      <c r="Q161">
        <v>6.8</v>
      </c>
      <c r="R161">
        <v>70</v>
      </c>
      <c r="S161">
        <v>29</v>
      </c>
      <c r="T161">
        <v>92.98</v>
      </c>
    </row>
    <row r="162" spans="1:20" x14ac:dyDescent="0.25">
      <c r="A162" s="3">
        <v>45.178364455794998</v>
      </c>
      <c r="B162" s="3">
        <v>50.386078926209002</v>
      </c>
      <c r="P162" s="3">
        <v>43.754870345507499</v>
      </c>
      <c r="Q162" s="3">
        <v>6.5</v>
      </c>
      <c r="R162" s="3">
        <v>78</v>
      </c>
      <c r="S162" s="3">
        <v>11</v>
      </c>
      <c r="T162" s="3">
        <v>68.13</v>
      </c>
    </row>
    <row r="163" spans="1:20" x14ac:dyDescent="0.25">
      <c r="A163">
        <v>55.339715846614801</v>
      </c>
      <c r="B163">
        <v>53.251062918985603</v>
      </c>
      <c r="P163">
        <v>40</v>
      </c>
      <c r="Q163">
        <v>7.5</v>
      </c>
      <c r="R163">
        <v>47</v>
      </c>
      <c r="S163">
        <v>3</v>
      </c>
      <c r="T163">
        <v>97.08</v>
      </c>
    </row>
    <row r="164" spans="1:20" x14ac:dyDescent="0.25">
      <c r="A164" s="3">
        <v>40</v>
      </c>
      <c r="B164" s="3">
        <v>50.585999360312201</v>
      </c>
      <c r="P164" s="3">
        <v>40.876037421853098</v>
      </c>
      <c r="Q164" s="3">
        <v>5.3</v>
      </c>
      <c r="R164" s="3">
        <v>69</v>
      </c>
      <c r="S164" s="3">
        <v>6</v>
      </c>
      <c r="T164" s="3">
        <v>86.42</v>
      </c>
    </row>
    <row r="165" spans="1:20" x14ac:dyDescent="0.25">
      <c r="A165">
        <v>46.508356270855998</v>
      </c>
      <c r="B165">
        <v>60.013889292086297</v>
      </c>
      <c r="P165">
        <v>40</v>
      </c>
      <c r="Q165">
        <v>4.3</v>
      </c>
      <c r="R165">
        <v>45</v>
      </c>
      <c r="S165">
        <v>11</v>
      </c>
      <c r="T165">
        <v>70.67</v>
      </c>
    </row>
    <row r="166" spans="1:20" x14ac:dyDescent="0.25">
      <c r="A166" s="3">
        <v>60.750691484395396</v>
      </c>
      <c r="B166" s="3">
        <v>64.185972297291102</v>
      </c>
      <c r="P166" s="3">
        <v>49.709010536253501</v>
      </c>
      <c r="Q166" s="3">
        <v>6.6</v>
      </c>
      <c r="R166" s="3">
        <v>82</v>
      </c>
      <c r="S166" s="3">
        <v>29</v>
      </c>
      <c r="T166" s="3">
        <v>66.38</v>
      </c>
    </row>
    <row r="167" spans="1:20" x14ac:dyDescent="0.25">
      <c r="A167">
        <v>58.1671783992728</v>
      </c>
      <c r="B167">
        <v>49.037654396799802</v>
      </c>
      <c r="P167">
        <v>55.9703717900816</v>
      </c>
      <c r="Q167">
        <v>6.1</v>
      </c>
      <c r="R167">
        <v>59</v>
      </c>
      <c r="S167">
        <v>21</v>
      </c>
      <c r="T167">
        <v>93.97</v>
      </c>
    </row>
    <row r="168" spans="1:20" x14ac:dyDescent="0.25">
      <c r="A168" s="3">
        <v>62.397090704702698</v>
      </c>
      <c r="B168" s="3">
        <v>52.726716815580502</v>
      </c>
      <c r="P168" s="3">
        <v>40</v>
      </c>
      <c r="Q168" s="3">
        <v>6.6</v>
      </c>
      <c r="R168" s="3">
        <v>63</v>
      </c>
      <c r="S168" s="3">
        <v>6</v>
      </c>
      <c r="T168" s="3">
        <v>69.88</v>
      </c>
    </row>
    <row r="169" spans="1:20" x14ac:dyDescent="0.25">
      <c r="A169">
        <v>53.164489306595897</v>
      </c>
      <c r="B169">
        <v>48.780084726867699</v>
      </c>
      <c r="P169">
        <v>66.221668308212003</v>
      </c>
      <c r="Q169">
        <v>7.1</v>
      </c>
      <c r="R169">
        <v>88</v>
      </c>
      <c r="S169">
        <v>28</v>
      </c>
      <c r="T169">
        <v>97.88</v>
      </c>
    </row>
    <row r="170" spans="1:20" x14ac:dyDescent="0.25">
      <c r="A170" s="3">
        <v>53.0277327527522</v>
      </c>
      <c r="B170" s="3">
        <v>43.655360490285098</v>
      </c>
      <c r="P170" s="3">
        <v>46.591645529742102</v>
      </c>
      <c r="Q170" s="3">
        <v>5.8</v>
      </c>
      <c r="R170" s="3">
        <v>76</v>
      </c>
      <c r="S170" s="3">
        <v>6</v>
      </c>
      <c r="T170" s="3">
        <v>68.180000000000007</v>
      </c>
    </row>
    <row r="171" spans="1:20" x14ac:dyDescent="0.25">
      <c r="A171">
        <v>63.071132020291202</v>
      </c>
      <c r="B171">
        <v>59.158353480221102</v>
      </c>
      <c r="P171">
        <v>40</v>
      </c>
      <c r="Q171">
        <v>5.5</v>
      </c>
      <c r="R171">
        <v>45</v>
      </c>
      <c r="S171">
        <v>6</v>
      </c>
      <c r="T171">
        <v>94.33</v>
      </c>
    </row>
    <row r="172" spans="1:20" x14ac:dyDescent="0.25">
      <c r="A172" s="3">
        <v>40</v>
      </c>
      <c r="B172" s="3">
        <v>51.366493822289897</v>
      </c>
      <c r="P172" s="3">
        <v>40</v>
      </c>
      <c r="Q172" s="3">
        <v>7.4</v>
      </c>
      <c r="R172" s="3">
        <v>72</v>
      </c>
      <c r="S172" s="3">
        <v>2</v>
      </c>
      <c r="T172" s="3">
        <v>79.819999999999993</v>
      </c>
    </row>
    <row r="173" spans="1:20" x14ac:dyDescent="0.25">
      <c r="A173">
        <v>69.906738043528307</v>
      </c>
      <c r="B173">
        <v>48.746425045670399</v>
      </c>
      <c r="P173">
        <v>62.554485436535401</v>
      </c>
      <c r="Q173">
        <v>6</v>
      </c>
      <c r="R173">
        <v>97</v>
      </c>
      <c r="S173">
        <v>17</v>
      </c>
      <c r="T173">
        <v>95.55</v>
      </c>
    </row>
    <row r="174" spans="1:20" x14ac:dyDescent="0.25">
      <c r="A174" s="3">
        <v>56.026272163037</v>
      </c>
      <c r="B174" s="3">
        <v>43.219704753591898</v>
      </c>
      <c r="P174" s="3">
        <v>44.082245607836803</v>
      </c>
      <c r="Q174" s="3">
        <v>8.1999999999999993</v>
      </c>
      <c r="R174" s="3">
        <v>63</v>
      </c>
      <c r="S174" s="3">
        <v>18</v>
      </c>
      <c r="T174" s="3">
        <v>91.9</v>
      </c>
    </row>
    <row r="175" spans="1:20" x14ac:dyDescent="0.25">
      <c r="A175">
        <v>53.2020235883232</v>
      </c>
      <c r="B175">
        <v>52.7766707695138</v>
      </c>
      <c r="P175">
        <v>54.0449996134939</v>
      </c>
      <c r="Q175">
        <v>7.8</v>
      </c>
      <c r="R175">
        <v>86</v>
      </c>
      <c r="S175">
        <v>12</v>
      </c>
      <c r="T175">
        <v>94.85</v>
      </c>
    </row>
    <row r="176" spans="1:20" x14ac:dyDescent="0.25">
      <c r="A176" s="3">
        <v>69.852485506461093</v>
      </c>
      <c r="B176" s="3">
        <v>40</v>
      </c>
      <c r="P176" s="3">
        <v>45.935604894719702</v>
      </c>
      <c r="Q176" s="3">
        <v>8.5</v>
      </c>
      <c r="R176" s="3">
        <v>50</v>
      </c>
      <c r="S176" s="3">
        <v>24</v>
      </c>
      <c r="T176" s="3">
        <v>81.459999999999994</v>
      </c>
    </row>
    <row r="177" spans="1:20" x14ac:dyDescent="0.25">
      <c r="A177">
        <v>46.265258954323301</v>
      </c>
      <c r="B177">
        <v>40</v>
      </c>
      <c r="P177">
        <v>55.483143664341398</v>
      </c>
      <c r="Q177">
        <v>4.5</v>
      </c>
      <c r="R177">
        <v>47</v>
      </c>
      <c r="S177">
        <v>17</v>
      </c>
      <c r="T177">
        <v>89.98</v>
      </c>
    </row>
    <row r="178" spans="1:20" x14ac:dyDescent="0.25">
      <c r="A178" s="3">
        <v>41.506206437509903</v>
      </c>
      <c r="B178" s="3">
        <v>59.504699874941601</v>
      </c>
      <c r="P178" s="3">
        <v>58.121029820901299</v>
      </c>
      <c r="Q178" s="3">
        <v>4.8</v>
      </c>
      <c r="R178" s="3">
        <v>73</v>
      </c>
      <c r="S178" s="3">
        <v>14</v>
      </c>
      <c r="T178" s="3">
        <v>76.150000000000006</v>
      </c>
    </row>
    <row r="179" spans="1:20" x14ac:dyDescent="0.25">
      <c r="A179">
        <v>45.350786390817298</v>
      </c>
      <c r="B179">
        <v>64.435264970984207</v>
      </c>
      <c r="P179">
        <v>52.913180995371803</v>
      </c>
      <c r="Q179">
        <v>7</v>
      </c>
      <c r="R179">
        <v>85</v>
      </c>
      <c r="S179">
        <v>10</v>
      </c>
      <c r="T179">
        <v>66.650000000000006</v>
      </c>
    </row>
    <row r="180" spans="1:20" x14ac:dyDescent="0.25">
      <c r="A180" s="3">
        <v>40</v>
      </c>
      <c r="B180" s="3">
        <v>59.435191487054297</v>
      </c>
      <c r="P180" s="3">
        <v>40</v>
      </c>
      <c r="Q180" s="3">
        <v>7.5</v>
      </c>
      <c r="R180" s="3">
        <v>49</v>
      </c>
      <c r="S180" s="3">
        <v>6</v>
      </c>
      <c r="T180" s="3">
        <v>73.13</v>
      </c>
    </row>
    <row r="181" spans="1:20" x14ac:dyDescent="0.25">
      <c r="A181">
        <v>65.886537849099099</v>
      </c>
      <c r="B181">
        <v>46.267324029756097</v>
      </c>
      <c r="P181">
        <v>42.455830445516597</v>
      </c>
      <c r="Q181">
        <v>5.0999999999999996</v>
      </c>
      <c r="R181">
        <v>57</v>
      </c>
      <c r="S181">
        <v>28</v>
      </c>
      <c r="T181">
        <v>65.05</v>
      </c>
    </row>
    <row r="182" spans="1:20" x14ac:dyDescent="0.25">
      <c r="A182" s="3">
        <v>40</v>
      </c>
      <c r="B182" s="3">
        <v>69.215613523562496</v>
      </c>
      <c r="P182" s="3">
        <v>53.536824421483502</v>
      </c>
      <c r="Q182" s="3">
        <v>4.0999999999999996</v>
      </c>
      <c r="R182" s="3">
        <v>88</v>
      </c>
      <c r="S182" s="3">
        <v>26</v>
      </c>
      <c r="T182" s="3">
        <v>77.709999999999994</v>
      </c>
    </row>
    <row r="183" spans="1:20" x14ac:dyDescent="0.25">
      <c r="A183">
        <v>40</v>
      </c>
      <c r="B183">
        <v>48.355125700414199</v>
      </c>
      <c r="P183">
        <v>46.470873718837602</v>
      </c>
      <c r="Q183">
        <v>8.3000000000000007</v>
      </c>
      <c r="R183">
        <v>56</v>
      </c>
      <c r="S183">
        <v>18</v>
      </c>
      <c r="T183">
        <v>82.28</v>
      </c>
    </row>
    <row r="184" spans="1:20" x14ac:dyDescent="0.25">
      <c r="A184" s="3">
        <v>59.269676390085998</v>
      </c>
      <c r="B184" s="3">
        <v>45.977344119540703</v>
      </c>
      <c r="P184" s="3">
        <v>50.413758915555803</v>
      </c>
      <c r="Q184" s="3">
        <v>7.9</v>
      </c>
      <c r="R184" s="3">
        <v>86</v>
      </c>
      <c r="S184" s="3">
        <v>17</v>
      </c>
      <c r="T184" s="3">
        <v>65.680000000000007</v>
      </c>
    </row>
    <row r="185" spans="1:20" x14ac:dyDescent="0.25">
      <c r="A185">
        <v>47.5736842315102</v>
      </c>
      <c r="B185">
        <v>51.397912634157997</v>
      </c>
      <c r="P185">
        <v>55.135028993901699</v>
      </c>
      <c r="Q185">
        <v>8.6</v>
      </c>
      <c r="R185">
        <v>69</v>
      </c>
      <c r="S185">
        <v>19</v>
      </c>
      <c r="T185">
        <v>65.27</v>
      </c>
    </row>
    <row r="186" spans="1:20" x14ac:dyDescent="0.25">
      <c r="A186" s="3">
        <v>40</v>
      </c>
      <c r="B186" s="3">
        <v>52.099424501557699</v>
      </c>
      <c r="P186" s="3">
        <v>53.0379227595554</v>
      </c>
      <c r="Q186" s="3">
        <v>5.4</v>
      </c>
      <c r="R186" s="3">
        <v>50</v>
      </c>
      <c r="S186" s="3">
        <v>15</v>
      </c>
      <c r="T186" s="3">
        <v>89.03</v>
      </c>
    </row>
    <row r="187" spans="1:20" x14ac:dyDescent="0.25">
      <c r="A187">
        <v>43.170436563150503</v>
      </c>
      <c r="B187">
        <v>53.0821190269223</v>
      </c>
      <c r="P187">
        <v>69.906103885831001</v>
      </c>
      <c r="Q187">
        <v>6.5</v>
      </c>
      <c r="R187">
        <v>92</v>
      </c>
      <c r="S187">
        <v>29</v>
      </c>
      <c r="T187">
        <v>68.52</v>
      </c>
    </row>
    <row r="188" spans="1:20" x14ac:dyDescent="0.25">
      <c r="A188" s="3">
        <v>52.132992403793502</v>
      </c>
      <c r="B188" s="3">
        <v>66.656194264851294</v>
      </c>
      <c r="P188" s="3">
        <v>40</v>
      </c>
      <c r="Q188" s="3">
        <v>7.6</v>
      </c>
      <c r="R188" s="3">
        <v>58</v>
      </c>
      <c r="S188" s="3">
        <v>17</v>
      </c>
      <c r="T188" s="3">
        <v>67.58</v>
      </c>
    </row>
    <row r="189" spans="1:20" x14ac:dyDescent="0.25">
      <c r="A189">
        <v>40</v>
      </c>
      <c r="B189">
        <v>46.041330504602001</v>
      </c>
      <c r="P189">
        <v>49.433663093256499</v>
      </c>
      <c r="Q189">
        <v>7.1</v>
      </c>
      <c r="R189">
        <v>70</v>
      </c>
      <c r="S189">
        <v>25</v>
      </c>
      <c r="T189">
        <v>82.35</v>
      </c>
    </row>
    <row r="190" spans="1:20" x14ac:dyDescent="0.25">
      <c r="A190" s="3">
        <v>56.522905186488103</v>
      </c>
      <c r="B190" s="3">
        <v>47.249006553540099</v>
      </c>
      <c r="P190" s="3">
        <v>51.973405566182599</v>
      </c>
      <c r="Q190" s="3">
        <v>4.0999999999999996</v>
      </c>
      <c r="R190" s="3">
        <v>94</v>
      </c>
      <c r="S190" s="3">
        <v>8</v>
      </c>
      <c r="T190" s="3">
        <v>90.14</v>
      </c>
    </row>
    <row r="191" spans="1:20" x14ac:dyDescent="0.25">
      <c r="A191">
        <v>70.254435014755202</v>
      </c>
      <c r="B191">
        <v>46.080134812778702</v>
      </c>
      <c r="P191">
        <v>53.081990375940499</v>
      </c>
      <c r="Q191">
        <v>6.5</v>
      </c>
      <c r="R191">
        <v>72</v>
      </c>
      <c r="S191">
        <v>4</v>
      </c>
      <c r="T191">
        <v>99.2</v>
      </c>
    </row>
    <row r="192" spans="1:20" x14ac:dyDescent="0.25">
      <c r="A192" s="3">
        <v>60.915064435702703</v>
      </c>
      <c r="B192" s="3">
        <v>44.736090287921598</v>
      </c>
      <c r="P192" s="3">
        <v>41.3938216709182</v>
      </c>
      <c r="Q192" s="3">
        <v>8.9</v>
      </c>
      <c r="R192" s="3">
        <v>66</v>
      </c>
      <c r="S192" s="3">
        <v>14</v>
      </c>
      <c r="T192" s="3">
        <v>75.34</v>
      </c>
    </row>
    <row r="193" spans="1:20" x14ac:dyDescent="0.25">
      <c r="A193">
        <v>49.798728433007703</v>
      </c>
      <c r="B193">
        <v>40</v>
      </c>
      <c r="P193">
        <v>47.603133163983898</v>
      </c>
      <c r="Q193">
        <v>5.2</v>
      </c>
      <c r="R193">
        <v>86</v>
      </c>
      <c r="S193">
        <v>8</v>
      </c>
      <c r="T193">
        <v>69.11</v>
      </c>
    </row>
    <row r="194" spans="1:20" x14ac:dyDescent="0.25">
      <c r="A194" s="3">
        <v>56.583481280789002</v>
      </c>
      <c r="B194" s="3">
        <v>55.255091818424603</v>
      </c>
      <c r="P194" s="3">
        <v>40</v>
      </c>
      <c r="Q194" s="3">
        <v>6.3</v>
      </c>
      <c r="R194" s="3">
        <v>54</v>
      </c>
      <c r="S194" s="3">
        <v>22</v>
      </c>
      <c r="T194" s="3">
        <v>67.400000000000006</v>
      </c>
    </row>
    <row r="195" spans="1:20" x14ac:dyDescent="0.25">
      <c r="A195">
        <v>56.189570553878099</v>
      </c>
      <c r="B195">
        <v>46.749214539457597</v>
      </c>
      <c r="P195">
        <v>53.667832802137703</v>
      </c>
      <c r="Q195">
        <v>8</v>
      </c>
      <c r="R195">
        <v>90</v>
      </c>
      <c r="S195">
        <v>20</v>
      </c>
      <c r="T195">
        <v>72.260000000000005</v>
      </c>
    </row>
    <row r="196" spans="1:20" x14ac:dyDescent="0.25">
      <c r="A196" s="3">
        <v>40.772860031621697</v>
      </c>
      <c r="B196" s="3">
        <v>48.910347003593202</v>
      </c>
      <c r="P196" s="3">
        <v>55.868629460027599</v>
      </c>
      <c r="Q196" s="3">
        <v>5.3</v>
      </c>
      <c r="R196" s="3">
        <v>72</v>
      </c>
      <c r="S196" s="3">
        <v>17</v>
      </c>
      <c r="T196" s="3">
        <v>68.5</v>
      </c>
    </row>
    <row r="197" spans="1:20" x14ac:dyDescent="0.25">
      <c r="A197">
        <v>43.4596735706617</v>
      </c>
      <c r="B197">
        <v>45.488599306905101</v>
      </c>
      <c r="P197">
        <v>40</v>
      </c>
      <c r="Q197">
        <v>6</v>
      </c>
      <c r="R197">
        <v>65</v>
      </c>
      <c r="S197">
        <v>29</v>
      </c>
      <c r="T197">
        <v>65.12</v>
      </c>
    </row>
    <row r="198" spans="1:20" x14ac:dyDescent="0.25">
      <c r="A198" s="3">
        <v>46.011228133699198</v>
      </c>
      <c r="B198" s="3">
        <v>40</v>
      </c>
      <c r="P198" s="3">
        <v>40</v>
      </c>
      <c r="Q198" s="3">
        <v>7.5</v>
      </c>
      <c r="R198" s="3">
        <v>49</v>
      </c>
      <c r="S198" s="3">
        <v>6</v>
      </c>
      <c r="T198" s="3">
        <v>74.98</v>
      </c>
    </row>
    <row r="199" spans="1:20" x14ac:dyDescent="0.25">
      <c r="A199">
        <v>55.223286150985501</v>
      </c>
      <c r="B199">
        <v>40</v>
      </c>
      <c r="P199">
        <v>40</v>
      </c>
      <c r="Q199">
        <v>6.2</v>
      </c>
      <c r="R199">
        <v>48</v>
      </c>
      <c r="S199">
        <v>9</v>
      </c>
      <c r="T199">
        <v>70.75</v>
      </c>
    </row>
    <row r="200" spans="1:20" x14ac:dyDescent="0.25">
      <c r="A200" s="3">
        <v>59.398623908108902</v>
      </c>
      <c r="B200" s="3">
        <v>63.932028517755001</v>
      </c>
      <c r="P200" s="3">
        <v>51.649063613753803</v>
      </c>
      <c r="Q200" s="3">
        <v>8.8000000000000007</v>
      </c>
      <c r="R200" s="3">
        <v>55</v>
      </c>
      <c r="S200" s="3">
        <v>16</v>
      </c>
      <c r="T200" s="3">
        <v>65.64</v>
      </c>
    </row>
    <row r="201" spans="1:20" x14ac:dyDescent="0.25">
      <c r="A201">
        <v>40</v>
      </c>
      <c r="B201">
        <v>51.091741666129401</v>
      </c>
      <c r="P201">
        <v>52.521927634365902</v>
      </c>
      <c r="Q201">
        <v>8.3000000000000007</v>
      </c>
      <c r="R201">
        <v>65</v>
      </c>
      <c r="S201">
        <v>23</v>
      </c>
      <c r="T201">
        <v>77.41</v>
      </c>
    </row>
    <row r="202" spans="1:20" x14ac:dyDescent="0.25">
      <c r="A202" s="3">
        <v>63.140608003518501</v>
      </c>
      <c r="B202" s="3">
        <v>44.981996940579101</v>
      </c>
      <c r="P202" s="3">
        <v>42.2882450146355</v>
      </c>
      <c r="Q202" s="3">
        <v>5.4</v>
      </c>
      <c r="R202" s="3">
        <v>64</v>
      </c>
      <c r="S202" s="3">
        <v>10</v>
      </c>
      <c r="T202" s="3">
        <v>93.91</v>
      </c>
    </row>
    <row r="203" spans="1:20" x14ac:dyDescent="0.25">
      <c r="A203">
        <v>58.7813786455784</v>
      </c>
      <c r="B203">
        <v>40</v>
      </c>
      <c r="P203">
        <v>40</v>
      </c>
      <c r="Q203">
        <v>4</v>
      </c>
      <c r="R203">
        <v>47</v>
      </c>
      <c r="S203">
        <v>19</v>
      </c>
      <c r="T203">
        <v>75.63</v>
      </c>
    </row>
    <row r="204" spans="1:20" x14ac:dyDescent="0.25">
      <c r="A204" s="3">
        <v>59.839648284628602</v>
      </c>
      <c r="B204" s="3">
        <v>63.829751500972399</v>
      </c>
      <c r="P204" s="3">
        <v>52.620345643020997</v>
      </c>
      <c r="Q204" s="3">
        <v>6.7</v>
      </c>
      <c r="R204" s="3">
        <v>78</v>
      </c>
      <c r="S204" s="3">
        <v>21</v>
      </c>
      <c r="T204" s="3">
        <v>89.85</v>
      </c>
    </row>
    <row r="205" spans="1:20" x14ac:dyDescent="0.25">
      <c r="A205">
        <v>52.028568195570102</v>
      </c>
      <c r="B205">
        <v>47.781885315894897</v>
      </c>
      <c r="P205">
        <v>54.955289977180698</v>
      </c>
      <c r="Q205">
        <v>8.3000000000000007</v>
      </c>
      <c r="R205">
        <v>74</v>
      </c>
      <c r="S205">
        <v>5</v>
      </c>
      <c r="T205">
        <v>90.51</v>
      </c>
    </row>
    <row r="206" spans="1:20" x14ac:dyDescent="0.25">
      <c r="A206" s="3">
        <v>50.733918812545902</v>
      </c>
      <c r="B206" s="3">
        <v>49.570039076609802</v>
      </c>
      <c r="P206" s="3">
        <v>56.250337012232599</v>
      </c>
      <c r="Q206" s="3">
        <v>8.5</v>
      </c>
      <c r="R206" s="3">
        <v>76</v>
      </c>
      <c r="S206" s="3">
        <v>14</v>
      </c>
      <c r="T206" s="3">
        <v>65.89</v>
      </c>
    </row>
    <row r="207" spans="1:20" x14ac:dyDescent="0.25">
      <c r="A207">
        <v>46.92818584354</v>
      </c>
      <c r="B207">
        <v>61.0167329394923</v>
      </c>
      <c r="P207">
        <v>56.900087549353003</v>
      </c>
      <c r="Q207">
        <v>4.5999999999999996</v>
      </c>
      <c r="R207">
        <v>70</v>
      </c>
      <c r="S207">
        <v>28</v>
      </c>
      <c r="T207">
        <v>98.66</v>
      </c>
    </row>
    <row r="208" spans="1:20" x14ac:dyDescent="0.25">
      <c r="A208" s="3">
        <v>57.673587830059098</v>
      </c>
      <c r="B208" s="3">
        <v>58.962751226121803</v>
      </c>
      <c r="P208" s="3">
        <v>40</v>
      </c>
      <c r="Q208" s="3">
        <v>8.5</v>
      </c>
      <c r="R208" s="3">
        <v>56</v>
      </c>
      <c r="S208" s="3">
        <v>13</v>
      </c>
      <c r="T208" s="3">
        <v>69.87</v>
      </c>
    </row>
    <row r="209" spans="1:20" x14ac:dyDescent="0.25">
      <c r="A209">
        <v>42.063085618116098</v>
      </c>
      <c r="B209">
        <v>49.481728190388701</v>
      </c>
      <c r="P209">
        <v>54.540725052896697</v>
      </c>
      <c r="Q209">
        <v>6.5</v>
      </c>
      <c r="R209">
        <v>58</v>
      </c>
      <c r="S209">
        <v>27</v>
      </c>
      <c r="T209">
        <v>90.11</v>
      </c>
    </row>
    <row r="210" spans="1:20" x14ac:dyDescent="0.25">
      <c r="A210" s="3">
        <v>56.259074827777603</v>
      </c>
      <c r="B210" s="3">
        <v>57.218512325342502</v>
      </c>
      <c r="P210" s="3">
        <v>53.092806296291997</v>
      </c>
      <c r="Q210" s="3">
        <v>8.9</v>
      </c>
      <c r="R210" s="3">
        <v>91</v>
      </c>
      <c r="S210" s="3">
        <v>3</v>
      </c>
      <c r="T210" s="3">
        <v>78.28</v>
      </c>
    </row>
    <row r="211" spans="1:20" x14ac:dyDescent="0.25">
      <c r="A211">
        <v>40</v>
      </c>
      <c r="B211">
        <v>48.863030675231499</v>
      </c>
      <c r="P211">
        <v>44.717779582302903</v>
      </c>
      <c r="Q211">
        <v>8</v>
      </c>
      <c r="R211">
        <v>53</v>
      </c>
      <c r="S211">
        <v>7</v>
      </c>
      <c r="T211">
        <v>95.39</v>
      </c>
    </row>
    <row r="212" spans="1:20" x14ac:dyDescent="0.25">
      <c r="A212" s="3">
        <v>44.045858917145601</v>
      </c>
      <c r="B212" s="3">
        <v>54.537830503983102</v>
      </c>
      <c r="P212" s="3">
        <v>60.770520233736498</v>
      </c>
      <c r="Q212" s="3">
        <v>4.8</v>
      </c>
      <c r="R212" s="3">
        <v>94</v>
      </c>
      <c r="S212" s="3">
        <v>7</v>
      </c>
      <c r="T212" s="3">
        <v>99.82</v>
      </c>
    </row>
    <row r="213" spans="1:20" x14ac:dyDescent="0.25">
      <c r="A213">
        <v>55.038850826098297</v>
      </c>
      <c r="B213">
        <v>40</v>
      </c>
      <c r="P213">
        <v>41.212705915944497</v>
      </c>
      <c r="Q213">
        <v>6.6</v>
      </c>
      <c r="R213">
        <v>74</v>
      </c>
      <c r="S213">
        <v>4</v>
      </c>
      <c r="T213">
        <v>71.77</v>
      </c>
    </row>
    <row r="214" spans="1:20" x14ac:dyDescent="0.25">
      <c r="A214" s="3">
        <v>45.580272547262098</v>
      </c>
      <c r="B214" s="3">
        <v>65.242854692942203</v>
      </c>
      <c r="P214" s="3">
        <v>71.752315266826102</v>
      </c>
      <c r="Q214" s="3">
        <v>8.4</v>
      </c>
      <c r="R214" s="3">
        <v>99</v>
      </c>
      <c r="S214" s="3">
        <v>22</v>
      </c>
      <c r="T214" s="3">
        <v>93.68</v>
      </c>
    </row>
    <row r="215" spans="1:20" x14ac:dyDescent="0.25">
      <c r="A215">
        <v>54.864118130123103</v>
      </c>
      <c r="B215">
        <v>57.973957010638799</v>
      </c>
      <c r="P215">
        <v>45.178702625462101</v>
      </c>
      <c r="Q215">
        <v>8.1</v>
      </c>
      <c r="R215">
        <v>61</v>
      </c>
      <c r="S215">
        <v>24</v>
      </c>
      <c r="T215">
        <v>82.69</v>
      </c>
    </row>
    <row r="216" spans="1:20" x14ac:dyDescent="0.25">
      <c r="A216" s="3">
        <v>61.570848511571398</v>
      </c>
      <c r="B216" s="3">
        <v>66.397745052328204</v>
      </c>
      <c r="P216" s="3">
        <v>72.746996243427205</v>
      </c>
      <c r="Q216" s="3">
        <v>8.8000000000000007</v>
      </c>
      <c r="R216" s="3">
        <v>88</v>
      </c>
      <c r="S216" s="3">
        <v>27</v>
      </c>
      <c r="T216" s="3">
        <v>98.79</v>
      </c>
    </row>
    <row r="217" spans="1:20" x14ac:dyDescent="0.25">
      <c r="A217">
        <v>40</v>
      </c>
      <c r="B217">
        <v>40.648643986805403</v>
      </c>
      <c r="P217">
        <v>64.906919177787998</v>
      </c>
      <c r="Q217">
        <v>8.1999999999999993</v>
      </c>
      <c r="R217">
        <v>90</v>
      </c>
      <c r="S217">
        <v>18</v>
      </c>
      <c r="T217">
        <v>88.03</v>
      </c>
    </row>
    <row r="218" spans="1:20" x14ac:dyDescent="0.25">
      <c r="A218" s="3">
        <v>50.354725629190398</v>
      </c>
      <c r="B218" s="3">
        <v>59.821863903959503</v>
      </c>
      <c r="P218" s="3">
        <v>53.020504254132703</v>
      </c>
      <c r="Q218" s="3">
        <v>9</v>
      </c>
      <c r="R218" s="3">
        <v>67</v>
      </c>
      <c r="S218" s="3">
        <v>27</v>
      </c>
      <c r="T218" s="3">
        <v>85.76</v>
      </c>
    </row>
    <row r="219" spans="1:20" x14ac:dyDescent="0.25">
      <c r="A219">
        <v>48.007924043075398</v>
      </c>
      <c r="B219">
        <v>51.436583170306299</v>
      </c>
      <c r="P219">
        <v>51.687071602623597</v>
      </c>
      <c r="Q219">
        <v>6.6</v>
      </c>
      <c r="R219">
        <v>91</v>
      </c>
      <c r="S219">
        <v>23</v>
      </c>
      <c r="T219">
        <v>73.03</v>
      </c>
    </row>
    <row r="220" spans="1:20" x14ac:dyDescent="0.25">
      <c r="A220" s="3">
        <v>62.339685404111002</v>
      </c>
      <c r="B220" s="3">
        <v>64.5585933385766</v>
      </c>
      <c r="P220" s="3">
        <v>57.509135484896497</v>
      </c>
      <c r="Q220" s="3">
        <v>7</v>
      </c>
      <c r="R220" s="3">
        <v>62</v>
      </c>
      <c r="S220" s="3">
        <v>21</v>
      </c>
      <c r="T220" s="3">
        <v>90.15</v>
      </c>
    </row>
    <row r="221" spans="1:20" x14ac:dyDescent="0.25">
      <c r="A221">
        <v>64.991418593703699</v>
      </c>
      <c r="B221">
        <v>43.331087309396601</v>
      </c>
      <c r="P221">
        <v>40.394890710609502</v>
      </c>
      <c r="Q221">
        <v>4.3</v>
      </c>
      <c r="R221">
        <v>49</v>
      </c>
      <c r="S221">
        <v>14</v>
      </c>
      <c r="T221">
        <v>75.09</v>
      </c>
    </row>
    <row r="222" spans="1:20" x14ac:dyDescent="0.25">
      <c r="A222" s="3">
        <v>61.065143829740897</v>
      </c>
      <c r="B222" s="3">
        <v>47.155685545282402</v>
      </c>
      <c r="P222" s="3">
        <v>54.4878447266343</v>
      </c>
      <c r="Q222" s="3">
        <v>6</v>
      </c>
      <c r="R222" s="3">
        <v>56</v>
      </c>
      <c r="S222" s="3">
        <v>29</v>
      </c>
      <c r="T222" s="3">
        <v>94.6</v>
      </c>
    </row>
    <row r="223" spans="1:20" x14ac:dyDescent="0.25">
      <c r="A223">
        <v>65.696751805134596</v>
      </c>
      <c r="B223">
        <v>40.5044655649587</v>
      </c>
      <c r="P223">
        <v>63.124676923806597</v>
      </c>
      <c r="Q223">
        <v>5.6</v>
      </c>
      <c r="R223">
        <v>77</v>
      </c>
      <c r="S223">
        <v>17</v>
      </c>
      <c r="T223">
        <v>99.2</v>
      </c>
    </row>
    <row r="224" spans="1:20" x14ac:dyDescent="0.25">
      <c r="A224" s="3">
        <v>63.0090491137545</v>
      </c>
      <c r="B224" s="3">
        <v>40</v>
      </c>
      <c r="P224" s="3">
        <v>40</v>
      </c>
      <c r="Q224" s="3">
        <v>8.6</v>
      </c>
      <c r="R224" s="3">
        <v>68</v>
      </c>
      <c r="S224" s="3">
        <v>3</v>
      </c>
      <c r="T224" s="3">
        <v>65.27</v>
      </c>
    </row>
    <row r="225" spans="1:20" x14ac:dyDescent="0.25">
      <c r="A225">
        <v>59.772093200415398</v>
      </c>
      <c r="B225">
        <v>50.487121880632102</v>
      </c>
      <c r="P225">
        <v>59.400152219981997</v>
      </c>
      <c r="Q225">
        <v>5.7</v>
      </c>
      <c r="R225">
        <v>82</v>
      </c>
      <c r="S225">
        <v>17</v>
      </c>
      <c r="T225">
        <v>98.41</v>
      </c>
    </row>
    <row r="226" spans="1:20" x14ac:dyDescent="0.25">
      <c r="A226" s="3">
        <v>47.595946996522997</v>
      </c>
      <c r="B226" s="3">
        <v>60.622824252633102</v>
      </c>
      <c r="P226" s="3">
        <v>44.325369219297698</v>
      </c>
      <c r="Q226" s="3">
        <v>8.4</v>
      </c>
      <c r="R226" s="3">
        <v>70</v>
      </c>
      <c r="S226" s="3">
        <v>9</v>
      </c>
      <c r="T226" s="3">
        <v>77.55</v>
      </c>
    </row>
    <row r="227" spans="1:20" x14ac:dyDescent="0.25">
      <c r="A227">
        <v>40</v>
      </c>
      <c r="B227">
        <v>63.560481555100402</v>
      </c>
      <c r="P227">
        <v>59.615443765019997</v>
      </c>
      <c r="Q227">
        <v>5.2</v>
      </c>
      <c r="R227">
        <v>98</v>
      </c>
      <c r="S227">
        <v>8</v>
      </c>
      <c r="T227">
        <v>82.09</v>
      </c>
    </row>
    <row r="228" spans="1:20" x14ac:dyDescent="0.25">
      <c r="A228" s="3">
        <v>59.361461749500101</v>
      </c>
      <c r="B228" s="3">
        <v>59.647611344299101</v>
      </c>
      <c r="P228" s="3">
        <v>43.453633873494297</v>
      </c>
      <c r="Q228" s="3">
        <v>6.9</v>
      </c>
      <c r="R228" s="3">
        <v>49</v>
      </c>
      <c r="S228" s="3">
        <v>7</v>
      </c>
      <c r="T228" s="3">
        <v>97.34</v>
      </c>
    </row>
    <row r="229" spans="1:20" x14ac:dyDescent="0.25">
      <c r="A229">
        <v>40</v>
      </c>
      <c r="B229">
        <v>49.947041741593601</v>
      </c>
      <c r="P229">
        <v>40</v>
      </c>
      <c r="Q229">
        <v>6.7</v>
      </c>
      <c r="R229">
        <v>47</v>
      </c>
      <c r="S229">
        <v>28</v>
      </c>
      <c r="T229">
        <v>92.16</v>
      </c>
    </row>
    <row r="230" spans="1:20" x14ac:dyDescent="0.25">
      <c r="A230" s="3">
        <v>52.528830378218899</v>
      </c>
      <c r="B230" s="3">
        <v>51.591806097957601</v>
      </c>
      <c r="P230" s="3">
        <v>43.0616026183123</v>
      </c>
      <c r="Q230" s="3">
        <v>4.5</v>
      </c>
      <c r="R230" s="3">
        <v>64</v>
      </c>
      <c r="S230" s="3">
        <v>13</v>
      </c>
      <c r="T230" s="3">
        <v>73.510000000000005</v>
      </c>
    </row>
    <row r="231" spans="1:20" x14ac:dyDescent="0.25">
      <c r="A231">
        <v>52.134459935515501</v>
      </c>
      <c r="B231">
        <v>46.827259585578297</v>
      </c>
      <c r="P231">
        <v>50.626245515571</v>
      </c>
      <c r="Q231">
        <v>5.6</v>
      </c>
      <c r="R231">
        <v>80</v>
      </c>
      <c r="S231">
        <v>15</v>
      </c>
      <c r="T231">
        <v>68.39</v>
      </c>
    </row>
    <row r="232" spans="1:20" x14ac:dyDescent="0.25">
      <c r="A232" s="3">
        <v>41.416778057251101</v>
      </c>
      <c r="B232" s="3">
        <v>69.451297924364198</v>
      </c>
      <c r="P232" s="3">
        <v>56.226374653341203</v>
      </c>
      <c r="Q232" s="3">
        <v>8.9</v>
      </c>
      <c r="R232" s="3">
        <v>91</v>
      </c>
      <c r="S232" s="3">
        <v>24</v>
      </c>
      <c r="T232" s="3">
        <v>94.44</v>
      </c>
    </row>
    <row r="233" spans="1:20" x14ac:dyDescent="0.25">
      <c r="A233">
        <v>49.631442306945402</v>
      </c>
      <c r="B233">
        <v>40.643126571440497</v>
      </c>
      <c r="P233">
        <v>57.753262285555103</v>
      </c>
      <c r="Q233">
        <v>7</v>
      </c>
      <c r="R233">
        <v>96</v>
      </c>
      <c r="S233">
        <v>16</v>
      </c>
      <c r="T233">
        <v>91.15</v>
      </c>
    </row>
    <row r="234" spans="1:20" x14ac:dyDescent="0.25">
      <c r="A234" s="3">
        <v>51.283009982231</v>
      </c>
      <c r="B234" s="3">
        <v>63.163693529746801</v>
      </c>
      <c r="P234" s="3">
        <v>63.531174328049502</v>
      </c>
      <c r="Q234" s="3">
        <v>8.1</v>
      </c>
      <c r="R234" s="3">
        <v>88</v>
      </c>
      <c r="S234" s="3">
        <v>29</v>
      </c>
      <c r="T234" s="3">
        <v>95.04</v>
      </c>
    </row>
    <row r="235" spans="1:20" x14ac:dyDescent="0.25">
      <c r="A235">
        <v>44.9019499972297</v>
      </c>
      <c r="B235">
        <v>40</v>
      </c>
      <c r="P235">
        <v>49.919213121944097</v>
      </c>
      <c r="Q235">
        <v>7.6</v>
      </c>
      <c r="R235">
        <v>74</v>
      </c>
      <c r="S235">
        <v>4</v>
      </c>
      <c r="T235">
        <v>78.44</v>
      </c>
    </row>
    <row r="236" spans="1:20" x14ac:dyDescent="0.25">
      <c r="A236" s="3">
        <v>58.678758571737497</v>
      </c>
      <c r="B236" s="3">
        <v>60.160242686674302</v>
      </c>
      <c r="P236" s="3">
        <v>41.510480281229597</v>
      </c>
      <c r="Q236" s="3">
        <v>8.5</v>
      </c>
      <c r="R236" s="3">
        <v>57</v>
      </c>
      <c r="S236" s="3">
        <v>10</v>
      </c>
      <c r="T236" s="3">
        <v>82.22</v>
      </c>
    </row>
    <row r="237" spans="1:20" x14ac:dyDescent="0.25">
      <c r="A237">
        <v>48.923213416861998</v>
      </c>
      <c r="B237">
        <v>49.400949857148802</v>
      </c>
      <c r="P237">
        <v>56.862072227524699</v>
      </c>
      <c r="Q237">
        <v>5.7</v>
      </c>
      <c r="R237">
        <v>96</v>
      </c>
      <c r="S237">
        <v>19</v>
      </c>
      <c r="T237">
        <v>81.28</v>
      </c>
    </row>
    <row r="238" spans="1:20" x14ac:dyDescent="0.25">
      <c r="A238" s="3">
        <v>61.819961926164801</v>
      </c>
      <c r="B238" s="3">
        <v>66.778436433912105</v>
      </c>
      <c r="P238" s="3">
        <v>42.183143807337601</v>
      </c>
      <c r="Q238" s="3">
        <v>5.0999999999999996</v>
      </c>
      <c r="R238" s="3">
        <v>71</v>
      </c>
      <c r="S238" s="3">
        <v>12</v>
      </c>
      <c r="T238" s="3">
        <v>76.02</v>
      </c>
    </row>
    <row r="239" spans="1:20" x14ac:dyDescent="0.25">
      <c r="A239">
        <v>40</v>
      </c>
      <c r="B239">
        <v>48.236774223649299</v>
      </c>
      <c r="P239">
        <v>40</v>
      </c>
      <c r="Q239">
        <v>4.4000000000000004</v>
      </c>
      <c r="R239">
        <v>54</v>
      </c>
      <c r="S239">
        <v>4</v>
      </c>
      <c r="T239">
        <v>76.75</v>
      </c>
    </row>
    <row r="240" spans="1:20" x14ac:dyDescent="0.25">
      <c r="A240" s="3">
        <v>55.6259491857166</v>
      </c>
      <c r="B240" s="3">
        <v>44.230295965874397</v>
      </c>
      <c r="P240" s="3">
        <v>58.034885768310403</v>
      </c>
      <c r="Q240" s="3">
        <v>8.1999999999999993</v>
      </c>
      <c r="R240" s="3">
        <v>98</v>
      </c>
      <c r="S240" s="3">
        <v>16</v>
      </c>
      <c r="T240" s="3">
        <v>90.15</v>
      </c>
    </row>
    <row r="241" spans="1:20" x14ac:dyDescent="0.25">
      <c r="A241">
        <v>57.304509117733303</v>
      </c>
      <c r="B241">
        <v>47.724928875710901</v>
      </c>
      <c r="P241">
        <v>60.248578873819397</v>
      </c>
      <c r="Q241">
        <v>6.6</v>
      </c>
      <c r="R241">
        <v>93</v>
      </c>
      <c r="S241">
        <v>6</v>
      </c>
      <c r="T241">
        <v>91.36</v>
      </c>
    </row>
    <row r="242" spans="1:20" x14ac:dyDescent="0.25">
      <c r="A242" s="3">
        <v>41.7387857274108</v>
      </c>
      <c r="B242" s="3">
        <v>40.048486608863698</v>
      </c>
      <c r="P242" s="3">
        <v>62.610995759248702</v>
      </c>
      <c r="Q242" s="3">
        <v>7.6</v>
      </c>
      <c r="R242" s="3">
        <v>84</v>
      </c>
      <c r="S242" s="3">
        <v>29</v>
      </c>
      <c r="T242" s="3">
        <v>95.23</v>
      </c>
    </row>
    <row r="243" spans="1:20" x14ac:dyDescent="0.25">
      <c r="A243">
        <v>53.146258693841702</v>
      </c>
      <c r="B243">
        <v>55.088117775887099</v>
      </c>
      <c r="P243">
        <v>42.7627206086228</v>
      </c>
      <c r="Q243">
        <v>4.3</v>
      </c>
      <c r="R243">
        <v>61</v>
      </c>
      <c r="S243">
        <v>9</v>
      </c>
      <c r="T243">
        <v>94.57</v>
      </c>
    </row>
    <row r="244" spans="1:20" x14ac:dyDescent="0.25">
      <c r="A244" s="3">
        <v>48.614089347837499</v>
      </c>
      <c r="B244" s="3">
        <v>46.491649084702203</v>
      </c>
      <c r="P244" s="3">
        <v>56.318125430913902</v>
      </c>
      <c r="Q244" s="3">
        <v>8.1999999999999993</v>
      </c>
      <c r="R244" s="3">
        <v>84</v>
      </c>
      <c r="S244" s="3">
        <v>11</v>
      </c>
      <c r="T244" s="3">
        <v>91.39</v>
      </c>
    </row>
    <row r="245" spans="1:20" x14ac:dyDescent="0.25">
      <c r="A245">
        <v>50.347131217640097</v>
      </c>
      <c r="B245">
        <v>57.492583429917403</v>
      </c>
      <c r="P245">
        <v>67.482317539301206</v>
      </c>
      <c r="Q245">
        <v>6.9</v>
      </c>
      <c r="R245">
        <v>90</v>
      </c>
      <c r="S245">
        <v>15</v>
      </c>
      <c r="T245">
        <v>76.650000000000006</v>
      </c>
    </row>
    <row r="246" spans="1:20" x14ac:dyDescent="0.25">
      <c r="A246" s="3">
        <v>40</v>
      </c>
      <c r="B246" s="3">
        <v>59.984998731463499</v>
      </c>
      <c r="P246" s="3">
        <v>68.231833913228996</v>
      </c>
      <c r="Q246" s="3">
        <v>4.5999999999999996</v>
      </c>
      <c r="R246" s="3">
        <v>99</v>
      </c>
      <c r="S246" s="3">
        <v>23</v>
      </c>
      <c r="T246" s="3">
        <v>89.85</v>
      </c>
    </row>
    <row r="247" spans="1:20" x14ac:dyDescent="0.25">
      <c r="A247">
        <v>60.189237845674</v>
      </c>
      <c r="B247">
        <v>59.615229399779103</v>
      </c>
      <c r="P247">
        <v>49.881271493030603</v>
      </c>
      <c r="Q247">
        <v>6.5</v>
      </c>
      <c r="R247">
        <v>69</v>
      </c>
      <c r="S247">
        <v>4</v>
      </c>
      <c r="T247">
        <v>99.04</v>
      </c>
    </row>
    <row r="248" spans="1:20" x14ac:dyDescent="0.25">
      <c r="A248" s="3">
        <v>60.508049973054398</v>
      </c>
      <c r="B248" s="3">
        <v>49.197773756558</v>
      </c>
      <c r="P248" s="3">
        <v>55.8996297348057</v>
      </c>
      <c r="Q248" s="3">
        <v>7</v>
      </c>
      <c r="R248" s="3">
        <v>68</v>
      </c>
      <c r="S248" s="3">
        <v>19</v>
      </c>
      <c r="T248" s="3">
        <v>97.07</v>
      </c>
    </row>
    <row r="249" spans="1:20" x14ac:dyDescent="0.25">
      <c r="A249">
        <v>43.945603361522203</v>
      </c>
      <c r="B249">
        <v>64.551662109447307</v>
      </c>
      <c r="P249">
        <v>58.121238460950998</v>
      </c>
      <c r="Q249">
        <v>5.7</v>
      </c>
      <c r="R249">
        <v>74</v>
      </c>
      <c r="S249">
        <v>8</v>
      </c>
      <c r="T249">
        <v>99</v>
      </c>
    </row>
    <row r="250" spans="1:20" x14ac:dyDescent="0.25">
      <c r="A250" s="3">
        <v>53.538714937679998</v>
      </c>
      <c r="B250" s="3">
        <v>40</v>
      </c>
      <c r="P250" s="3">
        <v>40</v>
      </c>
      <c r="Q250" s="3">
        <v>7.6</v>
      </c>
      <c r="R250" s="3">
        <v>48</v>
      </c>
      <c r="S250" s="3">
        <v>7</v>
      </c>
      <c r="T250" s="3">
        <v>66.27</v>
      </c>
    </row>
    <row r="251" spans="1:20" x14ac:dyDescent="0.25">
      <c r="A251">
        <v>41.774873508081299</v>
      </c>
      <c r="B251">
        <v>47.067674781116601</v>
      </c>
      <c r="P251">
        <v>40</v>
      </c>
      <c r="Q251">
        <v>6.9</v>
      </c>
      <c r="R251">
        <v>45</v>
      </c>
      <c r="S251">
        <v>5</v>
      </c>
      <c r="T251">
        <v>86.41</v>
      </c>
    </row>
    <row r="252" spans="1:20" x14ac:dyDescent="0.25">
      <c r="A252" s="3">
        <v>55.9282304693876</v>
      </c>
      <c r="B252" s="3">
        <v>46.551698538011003</v>
      </c>
      <c r="P252" s="3">
        <v>44.522523468862097</v>
      </c>
      <c r="Q252" s="3">
        <v>8.1999999999999993</v>
      </c>
      <c r="R252" s="3">
        <v>73</v>
      </c>
      <c r="S252" s="3">
        <v>13</v>
      </c>
      <c r="T252" s="3">
        <v>72.540000000000006</v>
      </c>
    </row>
    <row r="253" spans="1:20" x14ac:dyDescent="0.25">
      <c r="A253">
        <v>43.058966104541398</v>
      </c>
      <c r="B253">
        <v>40</v>
      </c>
      <c r="P253">
        <v>40</v>
      </c>
      <c r="Q253">
        <v>8.3000000000000007</v>
      </c>
      <c r="R253">
        <v>58</v>
      </c>
      <c r="S253">
        <v>3</v>
      </c>
      <c r="T253">
        <v>73.63</v>
      </c>
    </row>
    <row r="254" spans="1:20" x14ac:dyDescent="0.25">
      <c r="A254" s="3">
        <v>45.873453402051702</v>
      </c>
      <c r="B254" s="3">
        <v>51.547413662957197</v>
      </c>
      <c r="P254" s="3">
        <v>75.579391125995798</v>
      </c>
      <c r="Q254" s="3">
        <v>4.3</v>
      </c>
      <c r="R254" s="3">
        <v>98</v>
      </c>
      <c r="S254" s="3">
        <v>23</v>
      </c>
      <c r="T254" s="3">
        <v>94.54</v>
      </c>
    </row>
    <row r="255" spans="1:20" x14ac:dyDescent="0.25">
      <c r="A255">
        <v>62.857850854449403</v>
      </c>
      <c r="B255">
        <v>60.072646497628199</v>
      </c>
      <c r="P255">
        <v>63.403415016807799</v>
      </c>
      <c r="Q255">
        <v>7.2</v>
      </c>
      <c r="R255">
        <v>87</v>
      </c>
      <c r="S255">
        <v>26</v>
      </c>
      <c r="T255">
        <v>91.26</v>
      </c>
    </row>
    <row r="256" spans="1:20" x14ac:dyDescent="0.25">
      <c r="A256" s="3">
        <v>40.649419162640498</v>
      </c>
      <c r="B256" s="3">
        <v>56.471112544933</v>
      </c>
      <c r="P256" s="3">
        <v>65.480998740538993</v>
      </c>
      <c r="Q256" s="3">
        <v>7.6</v>
      </c>
      <c r="R256" s="3">
        <v>92</v>
      </c>
      <c r="S256" s="3">
        <v>26</v>
      </c>
      <c r="T256" s="3">
        <v>76.510000000000005</v>
      </c>
    </row>
    <row r="257" spans="1:20" x14ac:dyDescent="0.25">
      <c r="A257">
        <v>54.298676723463501</v>
      </c>
      <c r="B257">
        <v>58.341446706602198</v>
      </c>
      <c r="P257">
        <v>54.634661343178301</v>
      </c>
      <c r="Q257">
        <v>4.7</v>
      </c>
      <c r="R257">
        <v>86</v>
      </c>
      <c r="S257">
        <v>7</v>
      </c>
      <c r="T257">
        <v>83.2</v>
      </c>
    </row>
    <row r="258" spans="1:20" x14ac:dyDescent="0.25">
      <c r="A258" s="3">
        <v>67.736032040272207</v>
      </c>
      <c r="B258" s="3">
        <v>46.4708439387665</v>
      </c>
      <c r="P258" s="3">
        <v>68.982321412869993</v>
      </c>
      <c r="Q258" s="3">
        <v>8.4</v>
      </c>
      <c r="R258" s="3">
        <v>97</v>
      </c>
      <c r="S258" s="3">
        <v>7</v>
      </c>
      <c r="T258" s="3">
        <v>71.59</v>
      </c>
    </row>
    <row r="259" spans="1:20" x14ac:dyDescent="0.25">
      <c r="A259">
        <v>40</v>
      </c>
      <c r="B259">
        <v>41.644953653495598</v>
      </c>
      <c r="P259">
        <v>40</v>
      </c>
      <c r="Q259">
        <v>8.3000000000000007</v>
      </c>
      <c r="R259">
        <v>68</v>
      </c>
      <c r="S259">
        <v>16</v>
      </c>
      <c r="T259">
        <v>65.13</v>
      </c>
    </row>
    <row r="260" spans="1:20" x14ac:dyDescent="0.25">
      <c r="A260" s="3">
        <v>42.945210332475</v>
      </c>
      <c r="B260" s="3">
        <v>50.2714801209016</v>
      </c>
      <c r="P260" s="3">
        <v>45.478075985400999</v>
      </c>
      <c r="Q260" s="3">
        <v>4.7</v>
      </c>
      <c r="R260" s="3">
        <v>55</v>
      </c>
      <c r="S260" s="3">
        <v>22</v>
      </c>
      <c r="T260" s="3">
        <v>96.5</v>
      </c>
    </row>
    <row r="261" spans="1:20" x14ac:dyDescent="0.25">
      <c r="A261">
        <v>52.706359586369103</v>
      </c>
      <c r="B261">
        <v>40</v>
      </c>
      <c r="P261">
        <v>48.264893523263297</v>
      </c>
      <c r="Q261">
        <v>8.4</v>
      </c>
      <c r="R261">
        <v>61</v>
      </c>
      <c r="S261">
        <v>27</v>
      </c>
      <c r="T261">
        <v>89.84</v>
      </c>
    </row>
    <row r="262" spans="1:20" x14ac:dyDescent="0.25">
      <c r="A262" s="3">
        <v>54.1106585832351</v>
      </c>
      <c r="B262" s="3">
        <v>62.544370053190598</v>
      </c>
      <c r="P262" s="3">
        <v>50.858032262192097</v>
      </c>
      <c r="Q262" s="3">
        <v>7.2</v>
      </c>
      <c r="R262" s="3">
        <v>74</v>
      </c>
      <c r="S262" s="3">
        <v>21</v>
      </c>
      <c r="T262" s="3">
        <v>83.51</v>
      </c>
    </row>
    <row r="263" spans="1:20" x14ac:dyDescent="0.25">
      <c r="A263">
        <v>40</v>
      </c>
      <c r="B263">
        <v>44.998025978478502</v>
      </c>
      <c r="P263">
        <v>46.550509200244001</v>
      </c>
      <c r="Q263">
        <v>7.9</v>
      </c>
      <c r="R263">
        <v>61</v>
      </c>
      <c r="S263">
        <v>14</v>
      </c>
      <c r="T263">
        <v>66.89</v>
      </c>
    </row>
    <row r="264" spans="1:20" x14ac:dyDescent="0.25">
      <c r="A264" s="3">
        <v>52.4498224538995</v>
      </c>
      <c r="B264" s="3">
        <v>58.453583549048602</v>
      </c>
      <c r="P264" s="3">
        <v>57.197022137108803</v>
      </c>
      <c r="Q264" s="3">
        <v>8</v>
      </c>
      <c r="R264" s="3">
        <v>93</v>
      </c>
      <c r="S264" s="3">
        <v>12</v>
      </c>
      <c r="T264" s="3">
        <v>79.73</v>
      </c>
    </row>
    <row r="265" spans="1:20" x14ac:dyDescent="0.25">
      <c r="A265">
        <v>46.629214572982697</v>
      </c>
      <c r="B265">
        <v>40</v>
      </c>
      <c r="P265">
        <v>41.212668785805597</v>
      </c>
      <c r="Q265">
        <v>4.8</v>
      </c>
      <c r="R265">
        <v>52</v>
      </c>
      <c r="S265">
        <v>5</v>
      </c>
      <c r="T265">
        <v>78.3</v>
      </c>
    </row>
    <row r="266" spans="1:20" x14ac:dyDescent="0.25">
      <c r="A266" s="3">
        <v>44.782718216464602</v>
      </c>
      <c r="B266" s="3">
        <v>47.522914539638798</v>
      </c>
      <c r="P266" s="3">
        <v>62.411540174613897</v>
      </c>
      <c r="Q266" s="3">
        <v>4.3</v>
      </c>
      <c r="R266" s="3">
        <v>91</v>
      </c>
      <c r="S266" s="3">
        <v>22</v>
      </c>
      <c r="T266" s="3">
        <v>71</v>
      </c>
    </row>
    <row r="267" spans="1:20" x14ac:dyDescent="0.25">
      <c r="A267">
        <v>59.469180335592497</v>
      </c>
      <c r="B267">
        <v>54.231828471448303</v>
      </c>
      <c r="P267">
        <v>52.521040119231202</v>
      </c>
      <c r="Q267">
        <v>7.2</v>
      </c>
      <c r="R267">
        <v>91</v>
      </c>
      <c r="S267">
        <v>3</v>
      </c>
      <c r="T267">
        <v>70.47</v>
      </c>
    </row>
    <row r="268" spans="1:20" x14ac:dyDescent="0.25">
      <c r="A268" s="3">
        <v>49.513007154895298</v>
      </c>
      <c r="B268" s="3">
        <v>54.2620558622015</v>
      </c>
      <c r="P268" s="3">
        <v>41.154639650289703</v>
      </c>
      <c r="Q268" s="3">
        <v>5.7</v>
      </c>
      <c r="R268" s="3">
        <v>47</v>
      </c>
      <c r="S268" s="3">
        <v>15</v>
      </c>
      <c r="T268" s="3">
        <v>71.06</v>
      </c>
    </row>
    <row r="269" spans="1:20" x14ac:dyDescent="0.25">
      <c r="A269">
        <v>40.810169530455603</v>
      </c>
      <c r="B269">
        <v>52.635258069848803</v>
      </c>
      <c r="P269">
        <v>56.5767786026179</v>
      </c>
      <c r="Q269">
        <v>5.3</v>
      </c>
      <c r="R269">
        <v>83</v>
      </c>
      <c r="S269">
        <v>28</v>
      </c>
      <c r="T269">
        <v>85.89</v>
      </c>
    </row>
    <row r="270" spans="1:20" x14ac:dyDescent="0.25">
      <c r="A270" s="3">
        <v>61.208767469251001</v>
      </c>
      <c r="B270" s="3">
        <v>56.657923194299997</v>
      </c>
      <c r="P270" s="3">
        <v>57.547610541679703</v>
      </c>
      <c r="Q270" s="3">
        <v>4.5999999999999996</v>
      </c>
      <c r="R270" s="3">
        <v>97</v>
      </c>
      <c r="S270" s="3">
        <v>27</v>
      </c>
      <c r="T270" s="3">
        <v>69.36</v>
      </c>
    </row>
    <row r="271" spans="1:20" x14ac:dyDescent="0.25">
      <c r="A271">
        <v>50.949235712010797</v>
      </c>
      <c r="B271">
        <v>46.789162610797902</v>
      </c>
      <c r="P271">
        <v>40</v>
      </c>
      <c r="Q271">
        <v>8.3000000000000007</v>
      </c>
      <c r="R271">
        <v>58</v>
      </c>
      <c r="S271">
        <v>7</v>
      </c>
      <c r="T271">
        <v>73.349999999999994</v>
      </c>
    </row>
    <row r="272" spans="1:20" x14ac:dyDescent="0.25">
      <c r="A272" s="3">
        <v>42.068831209419699</v>
      </c>
      <c r="B272" s="3">
        <v>49.932452482130202</v>
      </c>
      <c r="P272" s="3">
        <v>61.346040165548999</v>
      </c>
      <c r="Q272" s="3">
        <v>6.9</v>
      </c>
      <c r="R272" s="3">
        <v>83</v>
      </c>
      <c r="S272" s="3">
        <v>27</v>
      </c>
      <c r="T272" s="3">
        <v>98.12</v>
      </c>
    </row>
    <row r="273" spans="1:20" x14ac:dyDescent="0.25">
      <c r="A273">
        <v>66.711915167727099</v>
      </c>
      <c r="B273">
        <v>51.128540695785503</v>
      </c>
      <c r="P273">
        <v>48.865294537190501</v>
      </c>
      <c r="Q273">
        <v>8.1999999999999993</v>
      </c>
      <c r="R273">
        <v>88</v>
      </c>
      <c r="S273">
        <v>13</v>
      </c>
      <c r="T273">
        <v>72.680000000000007</v>
      </c>
    </row>
    <row r="274" spans="1:20" x14ac:dyDescent="0.25">
      <c r="A274" s="3">
        <v>45.184162384295497</v>
      </c>
      <c r="B274" s="3">
        <v>56.249976422500801</v>
      </c>
      <c r="P274" s="3">
        <v>40</v>
      </c>
      <c r="Q274" s="3">
        <v>6.8</v>
      </c>
      <c r="R274" s="3">
        <v>46</v>
      </c>
      <c r="S274" s="3">
        <v>15</v>
      </c>
      <c r="T274" s="3">
        <v>91.73</v>
      </c>
    </row>
    <row r="275" spans="1:20" x14ac:dyDescent="0.25">
      <c r="A275">
        <v>40</v>
      </c>
      <c r="B275">
        <v>40</v>
      </c>
      <c r="P275">
        <v>60.343043711700901</v>
      </c>
      <c r="Q275">
        <v>4.2</v>
      </c>
      <c r="R275">
        <v>81</v>
      </c>
      <c r="S275">
        <v>25</v>
      </c>
      <c r="T275">
        <v>85.93</v>
      </c>
    </row>
    <row r="276" spans="1:20" x14ac:dyDescent="0.25">
      <c r="A276" s="3">
        <v>52.697558322426197</v>
      </c>
      <c r="B276" s="3">
        <v>53.093800703050498</v>
      </c>
      <c r="P276" s="3">
        <v>46.139938753863198</v>
      </c>
      <c r="Q276" s="3">
        <v>5.0999999999999996</v>
      </c>
      <c r="R276" s="3">
        <v>76</v>
      </c>
      <c r="S276" s="3">
        <v>15</v>
      </c>
      <c r="T276" s="3">
        <v>79.459999999999994</v>
      </c>
    </row>
    <row r="277" spans="1:20" x14ac:dyDescent="0.25">
      <c r="A277">
        <v>52.813825233874098</v>
      </c>
      <c r="B277">
        <v>57.879556899054201</v>
      </c>
      <c r="P277">
        <v>58.205143964350199</v>
      </c>
      <c r="Q277">
        <v>8.1</v>
      </c>
      <c r="R277">
        <v>76</v>
      </c>
      <c r="S277">
        <v>26</v>
      </c>
      <c r="T277">
        <v>85.84</v>
      </c>
    </row>
    <row r="278" spans="1:20" x14ac:dyDescent="0.25">
      <c r="A278" s="3">
        <v>52.5169697202629</v>
      </c>
      <c r="B278" s="3">
        <v>57.4286565066188</v>
      </c>
      <c r="P278" s="3">
        <v>49.125220136063298</v>
      </c>
      <c r="Q278" s="3">
        <v>5</v>
      </c>
      <c r="R278" s="3">
        <v>77</v>
      </c>
      <c r="S278" s="3">
        <v>20</v>
      </c>
      <c r="T278" s="3">
        <v>69.680000000000007</v>
      </c>
    </row>
    <row r="279" spans="1:20" x14ac:dyDescent="0.25">
      <c r="A279">
        <v>52.790390818493897</v>
      </c>
      <c r="B279">
        <v>54.677353430691902</v>
      </c>
      <c r="P279">
        <v>44.996575664458597</v>
      </c>
      <c r="Q279">
        <v>8.6</v>
      </c>
      <c r="R279">
        <v>57</v>
      </c>
      <c r="S279">
        <v>29</v>
      </c>
      <c r="T279">
        <v>81.95</v>
      </c>
    </row>
    <row r="280" spans="1:20" x14ac:dyDescent="0.25">
      <c r="A280" s="3">
        <v>52.396229206344799</v>
      </c>
      <c r="B280" s="3">
        <v>54.908603568920398</v>
      </c>
      <c r="P280" s="3">
        <v>71.347127860564598</v>
      </c>
      <c r="Q280" s="3">
        <v>5.6</v>
      </c>
      <c r="R280" s="3">
        <v>98</v>
      </c>
      <c r="S280" s="3">
        <v>26</v>
      </c>
      <c r="T280" s="3">
        <v>99.02</v>
      </c>
    </row>
    <row r="281" spans="1:20" x14ac:dyDescent="0.25">
      <c r="A281">
        <v>55.5559533607506</v>
      </c>
      <c r="B281">
        <v>52.337724405279097</v>
      </c>
      <c r="P281">
        <v>56.655555463644703</v>
      </c>
      <c r="Q281">
        <v>6.1</v>
      </c>
      <c r="R281">
        <v>75</v>
      </c>
      <c r="S281">
        <v>19</v>
      </c>
      <c r="T281">
        <v>79.97</v>
      </c>
    </row>
    <row r="282" spans="1:20" x14ac:dyDescent="0.25">
      <c r="A282" s="3">
        <v>47.922181639638303</v>
      </c>
      <c r="B282" s="3">
        <v>62.737729651041398</v>
      </c>
      <c r="P282" s="3">
        <v>43.370988972403197</v>
      </c>
      <c r="Q282" s="3">
        <v>7.3</v>
      </c>
      <c r="R282" s="3">
        <v>51</v>
      </c>
      <c r="S282" s="3">
        <v>24</v>
      </c>
      <c r="T282" s="3">
        <v>73.5</v>
      </c>
    </row>
    <row r="283" spans="1:20" x14ac:dyDescent="0.25">
      <c r="A283">
        <v>56.9485839623039</v>
      </c>
      <c r="B283">
        <v>48.175694056127703</v>
      </c>
      <c r="P283">
        <v>60.142147960160401</v>
      </c>
      <c r="Q283">
        <v>8</v>
      </c>
      <c r="R283">
        <v>63</v>
      </c>
      <c r="S283">
        <v>28</v>
      </c>
      <c r="T283">
        <v>97.46</v>
      </c>
    </row>
    <row r="284" spans="1:20" x14ac:dyDescent="0.25">
      <c r="A284" s="3">
        <v>47.253879643878101</v>
      </c>
      <c r="B284" s="3">
        <v>58.146849220519798</v>
      </c>
      <c r="P284" s="3">
        <v>40</v>
      </c>
      <c r="Q284" s="3">
        <v>7.8</v>
      </c>
      <c r="R284" s="3">
        <v>64</v>
      </c>
      <c r="S284" s="3">
        <v>18</v>
      </c>
      <c r="T284" s="3">
        <v>86.38</v>
      </c>
    </row>
    <row r="285" spans="1:20" x14ac:dyDescent="0.25">
      <c r="A285">
        <v>63.760029263941902</v>
      </c>
      <c r="B285">
        <v>42.806483971434197</v>
      </c>
      <c r="P285">
        <v>58.600188418330703</v>
      </c>
      <c r="Q285">
        <v>8.1</v>
      </c>
      <c r="R285">
        <v>78</v>
      </c>
      <c r="S285">
        <v>13</v>
      </c>
      <c r="T285">
        <v>90.48</v>
      </c>
    </row>
    <row r="286" spans="1:20" x14ac:dyDescent="0.25">
      <c r="A286" s="3">
        <v>59.262599776039103</v>
      </c>
      <c r="B286" s="3">
        <v>40.311528183739199</v>
      </c>
      <c r="P286" s="3">
        <v>47.584736605751402</v>
      </c>
      <c r="Q286" s="3">
        <v>6.5</v>
      </c>
      <c r="R286" s="3">
        <v>84</v>
      </c>
      <c r="S286" s="3">
        <v>4</v>
      </c>
      <c r="T286" s="3">
        <v>84.02</v>
      </c>
    </row>
    <row r="287" spans="1:20" x14ac:dyDescent="0.25">
      <c r="A287">
        <v>47.701561106777703</v>
      </c>
      <c r="B287">
        <v>56.420819995386204</v>
      </c>
      <c r="P287">
        <v>49.723698279904802</v>
      </c>
      <c r="Q287">
        <v>5.6</v>
      </c>
      <c r="R287">
        <v>90</v>
      </c>
      <c r="S287">
        <v>6</v>
      </c>
      <c r="T287">
        <v>65.39</v>
      </c>
    </row>
    <row r="288" spans="1:20" x14ac:dyDescent="0.25">
      <c r="B288" s="3">
        <v>55.456457228361202</v>
      </c>
      <c r="P288" s="3">
        <v>58.582755966753503</v>
      </c>
      <c r="Q288" s="3">
        <v>5.0999999999999996</v>
      </c>
      <c r="R288" s="3">
        <v>79</v>
      </c>
      <c r="S288" s="3">
        <v>23</v>
      </c>
      <c r="T288" s="3">
        <v>91.45</v>
      </c>
    </row>
    <row r="289" spans="2:20" x14ac:dyDescent="0.25">
      <c r="B289">
        <v>43.264153392796899</v>
      </c>
      <c r="P289">
        <v>57.781816916775298</v>
      </c>
      <c r="Q289">
        <v>8.8000000000000007</v>
      </c>
      <c r="R289">
        <v>96</v>
      </c>
      <c r="S289">
        <v>10</v>
      </c>
      <c r="T289">
        <v>99.25</v>
      </c>
    </row>
    <row r="290" spans="2:20" x14ac:dyDescent="0.25">
      <c r="B290" s="3">
        <v>40</v>
      </c>
      <c r="P290" s="3">
        <v>52.100789796221797</v>
      </c>
      <c r="Q290" s="3">
        <v>6.9</v>
      </c>
      <c r="R290" s="3">
        <v>64</v>
      </c>
      <c r="S290" s="3">
        <v>29</v>
      </c>
      <c r="T290" s="3">
        <v>90.07</v>
      </c>
    </row>
    <row r="291" spans="2:20" x14ac:dyDescent="0.25">
      <c r="B291">
        <v>50.104302728168797</v>
      </c>
      <c r="P291">
        <v>41.528283151040696</v>
      </c>
      <c r="Q291">
        <v>8.8000000000000007</v>
      </c>
      <c r="R291">
        <v>46</v>
      </c>
      <c r="S291">
        <v>22</v>
      </c>
      <c r="T291">
        <v>93.31</v>
      </c>
    </row>
    <row r="292" spans="2:20" x14ac:dyDescent="0.25">
      <c r="B292" s="3">
        <v>51.403458947314498</v>
      </c>
      <c r="P292" s="3">
        <v>62.323554228966302</v>
      </c>
      <c r="Q292" s="3">
        <v>6.5</v>
      </c>
      <c r="R292" s="3">
        <v>94</v>
      </c>
      <c r="S292" s="3">
        <v>23</v>
      </c>
      <c r="T292" s="3">
        <v>94.81</v>
      </c>
    </row>
    <row r="293" spans="2:20" x14ac:dyDescent="0.25">
      <c r="B293">
        <v>58.659788283020397</v>
      </c>
      <c r="P293">
        <v>57.116496438070897</v>
      </c>
      <c r="Q293">
        <v>5.9</v>
      </c>
      <c r="R293">
        <v>65</v>
      </c>
      <c r="S293">
        <v>2</v>
      </c>
      <c r="T293">
        <v>99.97</v>
      </c>
    </row>
    <row r="294" spans="2:20" x14ac:dyDescent="0.25">
      <c r="B294" s="3">
        <v>42.465785906001599</v>
      </c>
      <c r="P294" s="3">
        <v>40</v>
      </c>
      <c r="Q294" s="3">
        <v>7.1</v>
      </c>
      <c r="R294" s="3">
        <v>72</v>
      </c>
      <c r="S294" s="3">
        <v>13</v>
      </c>
      <c r="T294" s="3">
        <v>75.099999999999994</v>
      </c>
    </row>
    <row r="295" spans="2:20" x14ac:dyDescent="0.25">
      <c r="B295">
        <v>56.956605230140198</v>
      </c>
      <c r="P295">
        <v>42.572434699380103</v>
      </c>
      <c r="Q295">
        <v>9</v>
      </c>
      <c r="R295">
        <v>65</v>
      </c>
      <c r="S295">
        <v>5</v>
      </c>
      <c r="T295">
        <v>80.73</v>
      </c>
    </row>
    <row r="296" spans="2:20" x14ac:dyDescent="0.25">
      <c r="B296" s="3">
        <v>61.6617898382475</v>
      </c>
      <c r="P296" s="3">
        <v>53.864138003037297</v>
      </c>
      <c r="Q296" s="3">
        <v>8.3000000000000007</v>
      </c>
      <c r="R296" s="3">
        <v>69</v>
      </c>
      <c r="S296" s="3">
        <v>25</v>
      </c>
      <c r="T296" s="3">
        <v>84</v>
      </c>
    </row>
    <row r="297" spans="2:20" x14ac:dyDescent="0.25">
      <c r="B297">
        <v>48.720231473866299</v>
      </c>
      <c r="P297">
        <v>45.209729043433803</v>
      </c>
      <c r="Q297">
        <v>6</v>
      </c>
      <c r="R297">
        <v>89</v>
      </c>
      <c r="S297">
        <v>4</v>
      </c>
      <c r="T297">
        <v>70.34</v>
      </c>
    </row>
    <row r="298" spans="2:20" x14ac:dyDescent="0.25">
      <c r="B298" s="3">
        <v>45.132660470276299</v>
      </c>
      <c r="P298" s="3">
        <v>56.724751468281099</v>
      </c>
      <c r="Q298" s="3">
        <v>4.2</v>
      </c>
      <c r="R298" s="3">
        <v>82</v>
      </c>
      <c r="S298" s="3">
        <v>28</v>
      </c>
      <c r="T298" s="3">
        <v>81.83</v>
      </c>
    </row>
    <row r="299" spans="2:20" x14ac:dyDescent="0.25">
      <c r="B299">
        <v>57.422006206133197</v>
      </c>
      <c r="P299">
        <v>56.152384574367197</v>
      </c>
      <c r="Q299">
        <v>6</v>
      </c>
      <c r="R299">
        <v>94</v>
      </c>
      <c r="S299">
        <v>7</v>
      </c>
      <c r="T299">
        <v>74.69</v>
      </c>
    </row>
    <row r="300" spans="2:20" x14ac:dyDescent="0.25">
      <c r="B300" s="3">
        <v>57.351695195846702</v>
      </c>
      <c r="P300" s="3">
        <v>56.053926147251701</v>
      </c>
      <c r="Q300" s="3">
        <v>7.8</v>
      </c>
      <c r="R300" s="3">
        <v>87</v>
      </c>
      <c r="S300" s="3">
        <v>2</v>
      </c>
      <c r="T300" s="3">
        <v>94.29</v>
      </c>
    </row>
    <row r="301" spans="2:20" x14ac:dyDescent="0.25">
      <c r="B301">
        <v>50.637436791310698</v>
      </c>
      <c r="P301">
        <v>61.745045942559898</v>
      </c>
      <c r="Q301">
        <v>4</v>
      </c>
      <c r="R301">
        <v>92</v>
      </c>
      <c r="S301">
        <v>18</v>
      </c>
      <c r="T301">
        <v>77.150000000000006</v>
      </c>
    </row>
    <row r="302" spans="2:20" x14ac:dyDescent="0.25">
      <c r="B302" s="3">
        <v>47.246985300957498</v>
      </c>
      <c r="P302" s="3">
        <v>41.0565030357727</v>
      </c>
      <c r="Q302" s="3">
        <v>8.1999999999999993</v>
      </c>
      <c r="R302" s="3">
        <v>52</v>
      </c>
      <c r="S302" s="3">
        <v>4</v>
      </c>
      <c r="T302" s="3">
        <v>67.86</v>
      </c>
    </row>
    <row r="303" spans="2:20" x14ac:dyDescent="0.25">
      <c r="B303">
        <v>49.914025256946303</v>
      </c>
      <c r="P303">
        <v>40</v>
      </c>
      <c r="Q303">
        <v>5.3</v>
      </c>
      <c r="R303">
        <v>54</v>
      </c>
      <c r="S303">
        <v>20</v>
      </c>
      <c r="T303">
        <v>65.349999999999994</v>
      </c>
    </row>
    <row r="304" spans="2:20" x14ac:dyDescent="0.25">
      <c r="B304" s="3">
        <v>46.626097613504498</v>
      </c>
      <c r="P304" s="3">
        <v>48.261839594516097</v>
      </c>
      <c r="Q304" s="3">
        <v>5.8</v>
      </c>
      <c r="R304" s="3">
        <v>69</v>
      </c>
      <c r="S304" s="3">
        <v>4</v>
      </c>
      <c r="T304" s="3">
        <v>95.12</v>
      </c>
    </row>
    <row r="305" spans="2:20" x14ac:dyDescent="0.25">
      <c r="B305">
        <v>56.4637822529359</v>
      </c>
      <c r="P305">
        <v>43.815393053054102</v>
      </c>
      <c r="Q305">
        <v>8.6</v>
      </c>
      <c r="R305">
        <v>61</v>
      </c>
      <c r="S305">
        <v>25</v>
      </c>
      <c r="T305">
        <v>95.06</v>
      </c>
    </row>
    <row r="306" spans="2:20" x14ac:dyDescent="0.25">
      <c r="B306" s="3">
        <v>45.883709301603602</v>
      </c>
      <c r="P306" s="3">
        <v>49.875478890012602</v>
      </c>
      <c r="Q306" s="3">
        <v>5.9</v>
      </c>
      <c r="R306" s="3">
        <v>69</v>
      </c>
      <c r="S306" s="3">
        <v>10</v>
      </c>
      <c r="T306" s="3">
        <v>97.69</v>
      </c>
    </row>
    <row r="307" spans="2:20" x14ac:dyDescent="0.25">
      <c r="B307">
        <v>40.910958241870702</v>
      </c>
      <c r="P307">
        <v>46.752635859996502</v>
      </c>
      <c r="Q307">
        <v>6.4</v>
      </c>
      <c r="R307">
        <v>87</v>
      </c>
      <c r="S307">
        <v>19</v>
      </c>
      <c r="T307">
        <v>67.540000000000006</v>
      </c>
    </row>
    <row r="308" spans="2:20" x14ac:dyDescent="0.25">
      <c r="B308" s="3">
        <v>51.376385889613303</v>
      </c>
      <c r="P308" s="3">
        <v>51.618368831527498</v>
      </c>
      <c r="Q308" s="3">
        <v>6.2</v>
      </c>
      <c r="R308" s="3">
        <v>88</v>
      </c>
      <c r="S308" s="3">
        <v>2</v>
      </c>
      <c r="T308" s="3">
        <v>78.819999999999993</v>
      </c>
    </row>
    <row r="309" spans="2:20" x14ac:dyDescent="0.25">
      <c r="B309">
        <v>40.169603550952701</v>
      </c>
      <c r="P309">
        <v>49.315112484318497</v>
      </c>
      <c r="Q309">
        <v>5.8</v>
      </c>
      <c r="R309">
        <v>64</v>
      </c>
      <c r="S309">
        <v>12</v>
      </c>
      <c r="T309">
        <v>79.989999999999995</v>
      </c>
    </row>
    <row r="310" spans="2:20" x14ac:dyDescent="0.25">
      <c r="B310" s="3">
        <v>51.452852440268302</v>
      </c>
      <c r="P310" s="3">
        <v>54.792113221837297</v>
      </c>
      <c r="Q310" s="3">
        <v>4.4000000000000004</v>
      </c>
      <c r="R310" s="3">
        <v>64</v>
      </c>
      <c r="S310" s="3">
        <v>27</v>
      </c>
      <c r="T310" s="3">
        <v>95.13</v>
      </c>
    </row>
    <row r="311" spans="2:20" x14ac:dyDescent="0.25">
      <c r="B311">
        <v>61.131552892366997</v>
      </c>
      <c r="P311">
        <v>50.386078926209002</v>
      </c>
      <c r="Q311">
        <v>6.1</v>
      </c>
      <c r="R311">
        <v>69</v>
      </c>
      <c r="S311">
        <v>25</v>
      </c>
      <c r="T311">
        <v>74.150000000000006</v>
      </c>
    </row>
    <row r="312" spans="2:20" x14ac:dyDescent="0.25">
      <c r="B312" s="3">
        <v>61.970290692819098</v>
      </c>
      <c r="P312" s="3">
        <v>53.251062918985603</v>
      </c>
      <c r="Q312" s="3">
        <v>6.5</v>
      </c>
      <c r="R312" s="3">
        <v>68</v>
      </c>
      <c r="S312" s="3">
        <v>23</v>
      </c>
      <c r="T312" s="3">
        <v>75.58</v>
      </c>
    </row>
    <row r="313" spans="2:20" x14ac:dyDescent="0.25">
      <c r="B313">
        <v>46.807005084727102</v>
      </c>
      <c r="P313">
        <v>50.585999360312201</v>
      </c>
      <c r="Q313">
        <v>5.0999999999999996</v>
      </c>
      <c r="R313">
        <v>46</v>
      </c>
      <c r="S313">
        <v>29</v>
      </c>
      <c r="T313">
        <v>90.65</v>
      </c>
    </row>
    <row r="314" spans="2:20" x14ac:dyDescent="0.25">
      <c r="B314" s="3">
        <v>40</v>
      </c>
      <c r="P314" s="3">
        <v>49.116930579674502</v>
      </c>
      <c r="Q314" s="3">
        <v>8.1</v>
      </c>
      <c r="R314" s="3">
        <v>78</v>
      </c>
      <c r="S314" s="3">
        <v>26</v>
      </c>
      <c r="T314" s="3">
        <v>71.3</v>
      </c>
    </row>
    <row r="315" spans="2:20" x14ac:dyDescent="0.25">
      <c r="B315" s="4">
        <v>40</v>
      </c>
      <c r="P315">
        <v>43.5785723551977</v>
      </c>
      <c r="Q315">
        <v>6.5</v>
      </c>
      <c r="R315">
        <v>49</v>
      </c>
      <c r="S315">
        <v>2</v>
      </c>
      <c r="T315">
        <v>87.24</v>
      </c>
    </row>
    <row r="316" spans="2:20" x14ac:dyDescent="0.25">
      <c r="P316" s="3">
        <v>60.013889292086297</v>
      </c>
      <c r="Q316" s="3">
        <v>5.2</v>
      </c>
      <c r="R316" s="3">
        <v>99</v>
      </c>
      <c r="S316" s="3">
        <v>20</v>
      </c>
      <c r="T316" s="3">
        <v>90.98</v>
      </c>
    </row>
    <row r="317" spans="2:20" x14ac:dyDescent="0.25">
      <c r="P317">
        <v>40</v>
      </c>
      <c r="Q317">
        <v>4.5</v>
      </c>
      <c r="R317">
        <v>46</v>
      </c>
      <c r="S317">
        <v>7</v>
      </c>
      <c r="T317">
        <v>71.319999999999993</v>
      </c>
    </row>
    <row r="318" spans="2:20" x14ac:dyDescent="0.25">
      <c r="P318" s="3">
        <v>44.282752941837202</v>
      </c>
      <c r="Q318" s="3">
        <v>6.9</v>
      </c>
      <c r="R318" s="3">
        <v>45</v>
      </c>
      <c r="S318" s="3">
        <v>27</v>
      </c>
      <c r="T318" s="3">
        <v>72.77</v>
      </c>
    </row>
    <row r="319" spans="2:20" x14ac:dyDescent="0.25">
      <c r="P319">
        <v>64.185972297291102</v>
      </c>
      <c r="Q319">
        <v>6.4</v>
      </c>
      <c r="R319">
        <v>97</v>
      </c>
      <c r="S319">
        <v>22</v>
      </c>
      <c r="T319">
        <v>89.49</v>
      </c>
    </row>
    <row r="320" spans="2:20" x14ac:dyDescent="0.25">
      <c r="P320" s="3">
        <v>43.846222415164902</v>
      </c>
      <c r="Q320" s="3">
        <v>7.6</v>
      </c>
      <c r="R320" s="3">
        <v>59</v>
      </c>
      <c r="S320" s="3">
        <v>6</v>
      </c>
      <c r="T320" s="3">
        <v>92.81</v>
      </c>
    </row>
    <row r="321" spans="16:20" x14ac:dyDescent="0.25">
      <c r="P321">
        <v>49.037654396799802</v>
      </c>
      <c r="Q321">
        <v>8.9</v>
      </c>
      <c r="R321">
        <v>57</v>
      </c>
      <c r="S321">
        <v>19</v>
      </c>
      <c r="T321">
        <v>98.37</v>
      </c>
    </row>
    <row r="322" spans="16:20" x14ac:dyDescent="0.25">
      <c r="P322" s="3">
        <v>52.726716815580502</v>
      </c>
      <c r="Q322" s="3">
        <v>5</v>
      </c>
      <c r="R322" s="3">
        <v>67</v>
      </c>
      <c r="S322" s="3">
        <v>14</v>
      </c>
      <c r="T322" s="3">
        <v>75.8</v>
      </c>
    </row>
    <row r="323" spans="16:20" x14ac:dyDescent="0.25">
      <c r="P323">
        <v>48.780084726867699</v>
      </c>
      <c r="Q323">
        <v>7.7</v>
      </c>
      <c r="R323">
        <v>67</v>
      </c>
      <c r="S323">
        <v>16</v>
      </c>
      <c r="T323">
        <v>84.2</v>
      </c>
    </row>
    <row r="324" spans="16:20" x14ac:dyDescent="0.25">
      <c r="P324" s="3">
        <v>43.655360490285098</v>
      </c>
      <c r="Q324" s="3">
        <v>6.2</v>
      </c>
      <c r="R324" s="3">
        <v>49</v>
      </c>
      <c r="S324" s="3">
        <v>21</v>
      </c>
      <c r="T324" s="3">
        <v>70.14</v>
      </c>
    </row>
    <row r="325" spans="16:20" x14ac:dyDescent="0.25">
      <c r="P325">
        <v>59.158353480221102</v>
      </c>
      <c r="Q325">
        <v>6</v>
      </c>
      <c r="R325">
        <v>86</v>
      </c>
      <c r="S325">
        <v>17</v>
      </c>
      <c r="T325">
        <v>80.290000000000006</v>
      </c>
    </row>
    <row r="326" spans="16:20" x14ac:dyDescent="0.25">
      <c r="P326" s="3">
        <v>51.366493822289897</v>
      </c>
      <c r="Q326" s="3">
        <v>5.4</v>
      </c>
      <c r="R326" s="3">
        <v>48</v>
      </c>
      <c r="S326" s="3">
        <v>23</v>
      </c>
      <c r="T326" s="3">
        <v>74.14</v>
      </c>
    </row>
    <row r="327" spans="16:20" x14ac:dyDescent="0.25">
      <c r="P327">
        <v>70.258579015496395</v>
      </c>
      <c r="Q327">
        <v>5.8</v>
      </c>
      <c r="R327">
        <v>98</v>
      </c>
      <c r="S327">
        <v>29</v>
      </c>
      <c r="T327">
        <v>77.209999999999994</v>
      </c>
    </row>
    <row r="328" spans="16:20" x14ac:dyDescent="0.25">
      <c r="P328" s="3">
        <v>48.746425045670399</v>
      </c>
      <c r="Q328" s="3">
        <v>4.5999999999999996</v>
      </c>
      <c r="R328" s="3">
        <v>47</v>
      </c>
      <c r="S328" s="3">
        <v>26</v>
      </c>
      <c r="T328" s="3">
        <v>93.12</v>
      </c>
    </row>
    <row r="329" spans="16:20" x14ac:dyDescent="0.25">
      <c r="P329">
        <v>43.219704753591898</v>
      </c>
      <c r="Q329">
        <v>6.3</v>
      </c>
      <c r="R329">
        <v>48</v>
      </c>
      <c r="S329">
        <v>6</v>
      </c>
      <c r="T329">
        <v>93.11</v>
      </c>
    </row>
    <row r="330" spans="16:20" x14ac:dyDescent="0.25">
      <c r="P330" s="3">
        <v>52.7766707695138</v>
      </c>
      <c r="Q330" s="3">
        <v>6.9</v>
      </c>
      <c r="R330" s="3">
        <v>70</v>
      </c>
      <c r="S330" s="3">
        <v>20</v>
      </c>
      <c r="T330" s="3">
        <v>89.66</v>
      </c>
    </row>
    <row r="331" spans="16:20" x14ac:dyDescent="0.25">
      <c r="P331">
        <v>41.654781189036299</v>
      </c>
      <c r="Q331">
        <v>5.4</v>
      </c>
      <c r="R331">
        <v>64</v>
      </c>
      <c r="S331">
        <v>10</v>
      </c>
      <c r="T331">
        <v>69.33</v>
      </c>
    </row>
    <row r="332" spans="16:20" x14ac:dyDescent="0.25">
      <c r="P332" s="3">
        <v>43.825654281466498</v>
      </c>
      <c r="Q332" s="3">
        <v>6.3</v>
      </c>
      <c r="R332" s="3">
        <v>52</v>
      </c>
      <c r="S332" s="3">
        <v>27</v>
      </c>
      <c r="T332" s="3">
        <v>74.94</v>
      </c>
    </row>
    <row r="333" spans="16:20" x14ac:dyDescent="0.25">
      <c r="P333">
        <v>57.198000528709002</v>
      </c>
      <c r="Q333">
        <v>6.4</v>
      </c>
      <c r="R333">
        <v>78</v>
      </c>
      <c r="S333">
        <v>21</v>
      </c>
      <c r="T333">
        <v>97.88</v>
      </c>
    </row>
    <row r="334" spans="16:20" x14ac:dyDescent="0.25">
      <c r="P334" s="3">
        <v>40</v>
      </c>
      <c r="Q334" s="3">
        <v>7.3</v>
      </c>
      <c r="R334" s="3">
        <v>53</v>
      </c>
      <c r="S334" s="3">
        <v>12</v>
      </c>
      <c r="T334" s="3">
        <v>80.84</v>
      </c>
    </row>
    <row r="335" spans="16:20" x14ac:dyDescent="0.25">
      <c r="P335">
        <v>40</v>
      </c>
      <c r="Q335">
        <v>6.9</v>
      </c>
      <c r="R335">
        <v>49</v>
      </c>
      <c r="S335">
        <v>8</v>
      </c>
      <c r="T335">
        <v>86.76</v>
      </c>
    </row>
    <row r="336" spans="16:20" x14ac:dyDescent="0.25">
      <c r="P336" s="3">
        <v>48.810521185834602</v>
      </c>
      <c r="Q336" s="3">
        <v>8.6999999999999993</v>
      </c>
      <c r="R336" s="3">
        <v>75</v>
      </c>
      <c r="S336" s="3">
        <v>20</v>
      </c>
      <c r="T336" s="3">
        <v>65.64</v>
      </c>
    </row>
    <row r="337" spans="16:20" x14ac:dyDescent="0.25">
      <c r="P337">
        <v>59.504699874941601</v>
      </c>
      <c r="Q337">
        <v>6.6</v>
      </c>
      <c r="R337">
        <v>91</v>
      </c>
      <c r="S337">
        <v>27</v>
      </c>
      <c r="T337">
        <v>83.13</v>
      </c>
    </row>
    <row r="338" spans="16:20" x14ac:dyDescent="0.25">
      <c r="P338" s="3">
        <v>51.455921096490599</v>
      </c>
      <c r="Q338" s="3">
        <v>7</v>
      </c>
      <c r="R338" s="3">
        <v>79</v>
      </c>
      <c r="S338" s="3">
        <v>10</v>
      </c>
      <c r="T338" s="3">
        <v>89.12</v>
      </c>
    </row>
    <row r="339" spans="16:20" x14ac:dyDescent="0.25">
      <c r="P339">
        <v>45.178364455794998</v>
      </c>
      <c r="Q339">
        <v>6.7</v>
      </c>
      <c r="R339">
        <v>80</v>
      </c>
      <c r="S339">
        <v>2</v>
      </c>
      <c r="T339">
        <v>67.06</v>
      </c>
    </row>
    <row r="340" spans="16:20" x14ac:dyDescent="0.25">
      <c r="P340" s="3">
        <v>64.435264970984207</v>
      </c>
      <c r="Q340" s="3">
        <v>5.7</v>
      </c>
      <c r="R340" s="3">
        <v>98</v>
      </c>
      <c r="S340" s="3">
        <v>23</v>
      </c>
      <c r="T340" s="3">
        <v>69.03</v>
      </c>
    </row>
    <row r="341" spans="16:20" x14ac:dyDescent="0.25">
      <c r="P341">
        <v>55.339715846614801</v>
      </c>
      <c r="Q341">
        <v>4.8</v>
      </c>
      <c r="R341">
        <v>88</v>
      </c>
      <c r="S341">
        <v>2</v>
      </c>
      <c r="T341">
        <v>77.89</v>
      </c>
    </row>
    <row r="342" spans="16:20" x14ac:dyDescent="0.25">
      <c r="P342" s="3">
        <v>59.435191487054297</v>
      </c>
      <c r="Q342" s="3">
        <v>4.0999999999999996</v>
      </c>
      <c r="R342" s="3">
        <v>80</v>
      </c>
      <c r="S342" s="3">
        <v>9</v>
      </c>
      <c r="T342" s="3">
        <v>98.06</v>
      </c>
    </row>
    <row r="343" spans="16:20" x14ac:dyDescent="0.25">
      <c r="P343">
        <v>46.267324029756097</v>
      </c>
      <c r="Q343">
        <v>5.0999999999999996</v>
      </c>
      <c r="R343">
        <v>49</v>
      </c>
      <c r="S343">
        <v>19</v>
      </c>
      <c r="T343">
        <v>73.709999999999994</v>
      </c>
    </row>
    <row r="344" spans="16:20" x14ac:dyDescent="0.25">
      <c r="P344" s="3">
        <v>40</v>
      </c>
      <c r="Q344" s="3">
        <v>6.8</v>
      </c>
      <c r="R344" s="3">
        <v>55</v>
      </c>
      <c r="S344" s="3">
        <v>24</v>
      </c>
      <c r="T344" s="3">
        <v>65.760000000000005</v>
      </c>
    </row>
    <row r="345" spans="16:20" x14ac:dyDescent="0.25">
      <c r="P345">
        <v>46.508356270855998</v>
      </c>
      <c r="Q345">
        <v>4.0999999999999996</v>
      </c>
      <c r="R345">
        <v>67</v>
      </c>
      <c r="S345">
        <v>3</v>
      </c>
      <c r="T345">
        <v>93.32</v>
      </c>
    </row>
    <row r="346" spans="16:20" x14ac:dyDescent="0.25">
      <c r="P346" s="3">
        <v>60.750691484395396</v>
      </c>
      <c r="Q346" s="3">
        <v>5.6</v>
      </c>
      <c r="R346" s="3">
        <v>88</v>
      </c>
      <c r="S346" s="3">
        <v>17</v>
      </c>
      <c r="T346" s="3">
        <v>94.72</v>
      </c>
    </row>
    <row r="347" spans="16:20" x14ac:dyDescent="0.25">
      <c r="P347">
        <v>58.1671783992728</v>
      </c>
      <c r="Q347">
        <v>4.2</v>
      </c>
      <c r="R347">
        <v>92</v>
      </c>
      <c r="S347">
        <v>8</v>
      </c>
      <c r="T347">
        <v>83.78</v>
      </c>
    </row>
    <row r="348" spans="16:20" x14ac:dyDescent="0.25">
      <c r="P348" s="3">
        <v>69.215613523562496</v>
      </c>
      <c r="Q348" s="3">
        <v>7.4</v>
      </c>
      <c r="R348" s="3">
        <v>99</v>
      </c>
      <c r="S348" s="3">
        <v>26</v>
      </c>
      <c r="T348" s="3">
        <v>96.26</v>
      </c>
    </row>
    <row r="349" spans="16:20" x14ac:dyDescent="0.25">
      <c r="P349">
        <v>48.355125700414199</v>
      </c>
      <c r="Q349">
        <v>6.6</v>
      </c>
      <c r="R349">
        <v>66</v>
      </c>
      <c r="S349">
        <v>2</v>
      </c>
      <c r="T349">
        <v>71.27</v>
      </c>
    </row>
    <row r="350" spans="16:20" x14ac:dyDescent="0.25">
      <c r="P350" s="3">
        <v>45.977344119540703</v>
      </c>
      <c r="Q350" s="3">
        <v>8.5</v>
      </c>
      <c r="R350" s="3">
        <v>77</v>
      </c>
      <c r="S350" s="3">
        <v>10</v>
      </c>
      <c r="T350" s="3">
        <v>74.61</v>
      </c>
    </row>
    <row r="351" spans="16:20" x14ac:dyDescent="0.25">
      <c r="P351">
        <v>51.397912634157997</v>
      </c>
      <c r="Q351">
        <v>7.1</v>
      </c>
      <c r="R351">
        <v>74</v>
      </c>
      <c r="S351">
        <v>25</v>
      </c>
      <c r="T351">
        <v>65.72</v>
      </c>
    </row>
    <row r="352" spans="16:20" x14ac:dyDescent="0.25">
      <c r="P352" s="3">
        <v>52.099424501557699</v>
      </c>
      <c r="Q352" s="3">
        <v>7.5</v>
      </c>
      <c r="R352" s="3">
        <v>93</v>
      </c>
      <c r="S352" s="3">
        <v>13</v>
      </c>
      <c r="T352" s="3">
        <v>85.42</v>
      </c>
    </row>
    <row r="353" spans="16:20" x14ac:dyDescent="0.25">
      <c r="P353">
        <v>62.397090704702698</v>
      </c>
      <c r="Q353">
        <v>8.4</v>
      </c>
      <c r="R353">
        <v>93</v>
      </c>
      <c r="S353">
        <v>13</v>
      </c>
      <c r="T353">
        <v>96.06</v>
      </c>
    </row>
    <row r="354" spans="16:20" x14ac:dyDescent="0.25">
      <c r="P354" s="3">
        <v>53.0821190269223</v>
      </c>
      <c r="Q354" s="3">
        <v>8.5</v>
      </c>
      <c r="R354" s="3">
        <v>96</v>
      </c>
      <c r="S354" s="3">
        <v>18</v>
      </c>
      <c r="T354" s="3">
        <v>86.22</v>
      </c>
    </row>
    <row r="355" spans="16:20" x14ac:dyDescent="0.25">
      <c r="P355">
        <v>53.164489306595897</v>
      </c>
      <c r="Q355">
        <v>5.8</v>
      </c>
      <c r="R355">
        <v>81</v>
      </c>
      <c r="S355">
        <v>18</v>
      </c>
      <c r="T355">
        <v>67.81</v>
      </c>
    </row>
    <row r="356" spans="16:20" x14ac:dyDescent="0.25">
      <c r="P356" s="3">
        <v>66.656194264851294</v>
      </c>
      <c r="Q356" s="3">
        <v>6.9</v>
      </c>
      <c r="R356" s="3">
        <v>87</v>
      </c>
      <c r="S356" s="3">
        <v>26</v>
      </c>
      <c r="T356" s="3">
        <v>89.26</v>
      </c>
    </row>
    <row r="357" spans="16:20" x14ac:dyDescent="0.25">
      <c r="P357">
        <v>46.041330504602001</v>
      </c>
      <c r="Q357">
        <v>6</v>
      </c>
      <c r="R357">
        <v>54</v>
      </c>
      <c r="S357">
        <v>12</v>
      </c>
      <c r="T357">
        <v>88.66</v>
      </c>
    </row>
    <row r="358" spans="16:20" x14ac:dyDescent="0.25">
      <c r="P358" s="3">
        <v>47.249006553540099</v>
      </c>
      <c r="Q358" s="3">
        <v>6.8</v>
      </c>
      <c r="R358" s="3">
        <v>81</v>
      </c>
      <c r="S358" s="3">
        <v>20</v>
      </c>
      <c r="T358" s="3">
        <v>70.84</v>
      </c>
    </row>
    <row r="359" spans="16:20" x14ac:dyDescent="0.25">
      <c r="P359">
        <v>53.0277327527522</v>
      </c>
      <c r="Q359">
        <v>8.6999999999999993</v>
      </c>
      <c r="R359">
        <v>78</v>
      </c>
      <c r="S359">
        <v>23</v>
      </c>
      <c r="T359">
        <v>94.01</v>
      </c>
    </row>
    <row r="360" spans="16:20" x14ac:dyDescent="0.25">
      <c r="P360" s="3">
        <v>63.071132020291202</v>
      </c>
      <c r="Q360" s="3">
        <v>9</v>
      </c>
      <c r="R360" s="3">
        <v>94</v>
      </c>
      <c r="S360" s="3">
        <v>10</v>
      </c>
      <c r="T360" s="3">
        <v>96.93</v>
      </c>
    </row>
    <row r="361" spans="16:20" x14ac:dyDescent="0.25">
      <c r="P361">
        <v>46.080134812778702</v>
      </c>
      <c r="Q361">
        <v>6.4</v>
      </c>
      <c r="R361">
        <v>69</v>
      </c>
      <c r="S361">
        <v>11</v>
      </c>
      <c r="T361">
        <v>78.709999999999994</v>
      </c>
    </row>
    <row r="362" spans="16:20" x14ac:dyDescent="0.25">
      <c r="P362" s="3">
        <v>40</v>
      </c>
      <c r="Q362" s="3">
        <v>4.3</v>
      </c>
      <c r="R362" s="3">
        <v>66</v>
      </c>
      <c r="S362" s="3">
        <v>26</v>
      </c>
      <c r="T362" s="3">
        <v>75.81</v>
      </c>
    </row>
    <row r="363" spans="16:20" x14ac:dyDescent="0.25">
      <c r="P363">
        <v>69.906738043528307</v>
      </c>
      <c r="Q363">
        <v>8.8000000000000007</v>
      </c>
      <c r="R363">
        <v>98</v>
      </c>
      <c r="S363">
        <v>22</v>
      </c>
      <c r="T363">
        <v>85.11</v>
      </c>
    </row>
    <row r="364" spans="16:20" x14ac:dyDescent="0.25">
      <c r="P364" s="3">
        <v>44.736090287921598</v>
      </c>
      <c r="Q364" s="3">
        <v>4.5999999999999996</v>
      </c>
      <c r="R364" s="3">
        <v>51</v>
      </c>
      <c r="S364" s="3">
        <v>12</v>
      </c>
      <c r="T364" s="3">
        <v>99.04</v>
      </c>
    </row>
    <row r="365" spans="16:20" x14ac:dyDescent="0.25">
      <c r="P365">
        <v>56.026272163037</v>
      </c>
      <c r="Q365">
        <v>4.0999999999999996</v>
      </c>
      <c r="R365">
        <v>97</v>
      </c>
      <c r="S365">
        <v>21</v>
      </c>
      <c r="T365">
        <v>90.37</v>
      </c>
    </row>
    <row r="366" spans="16:20" x14ac:dyDescent="0.25">
      <c r="P366" s="3">
        <v>53.2020235883232</v>
      </c>
      <c r="Q366" s="3">
        <v>7.5</v>
      </c>
      <c r="R366" s="3">
        <v>74</v>
      </c>
      <c r="S366" s="3">
        <v>13</v>
      </c>
      <c r="T366" s="3">
        <v>92.65</v>
      </c>
    </row>
    <row r="367" spans="16:20" x14ac:dyDescent="0.25">
      <c r="P367">
        <v>69.852485506461093</v>
      </c>
      <c r="Q367">
        <v>8.1999999999999993</v>
      </c>
      <c r="R367">
        <v>95</v>
      </c>
      <c r="S367">
        <v>8</v>
      </c>
      <c r="T367">
        <v>91.9</v>
      </c>
    </row>
    <row r="368" spans="16:20" x14ac:dyDescent="0.25">
      <c r="P368" s="3">
        <v>46.265258954323301</v>
      </c>
      <c r="Q368" s="3">
        <v>7.1</v>
      </c>
      <c r="R368" s="3">
        <v>54</v>
      </c>
      <c r="S368" s="3">
        <v>19</v>
      </c>
      <c r="T368" s="3">
        <v>98.49</v>
      </c>
    </row>
    <row r="369" spans="16:20" x14ac:dyDescent="0.25">
      <c r="P369">
        <v>41.506206437509903</v>
      </c>
      <c r="Q369">
        <v>7</v>
      </c>
      <c r="R369">
        <v>47</v>
      </c>
      <c r="S369">
        <v>16</v>
      </c>
      <c r="T369">
        <v>93.57</v>
      </c>
    </row>
    <row r="370" spans="16:20" x14ac:dyDescent="0.25">
      <c r="P370" s="3">
        <v>40</v>
      </c>
      <c r="Q370" s="3">
        <v>5.6</v>
      </c>
      <c r="R370" s="3">
        <v>61</v>
      </c>
      <c r="S370" s="3">
        <v>7</v>
      </c>
      <c r="T370" s="3">
        <v>74.39</v>
      </c>
    </row>
    <row r="371" spans="16:20" x14ac:dyDescent="0.25">
      <c r="P371">
        <v>55.255091818424603</v>
      </c>
      <c r="Q371">
        <v>7.1</v>
      </c>
      <c r="R371">
        <v>80</v>
      </c>
      <c r="S371">
        <v>18</v>
      </c>
      <c r="T371">
        <v>73.099999999999994</v>
      </c>
    </row>
    <row r="372" spans="16:20" x14ac:dyDescent="0.25">
      <c r="P372" s="3">
        <v>45.350786390817298</v>
      </c>
      <c r="Q372" s="3">
        <v>8.1</v>
      </c>
      <c r="R372" s="3">
        <v>54</v>
      </c>
      <c r="S372" s="3">
        <v>26</v>
      </c>
      <c r="T372" s="3">
        <v>73.47</v>
      </c>
    </row>
    <row r="373" spans="16:20" x14ac:dyDescent="0.25">
      <c r="P373">
        <v>46.749214539457597</v>
      </c>
      <c r="Q373">
        <v>5.6</v>
      </c>
      <c r="R373">
        <v>66</v>
      </c>
      <c r="S373">
        <v>6</v>
      </c>
      <c r="T373">
        <v>72.45</v>
      </c>
    </row>
    <row r="374" spans="16:20" x14ac:dyDescent="0.25">
      <c r="P374" s="3">
        <v>40</v>
      </c>
      <c r="Q374" s="3">
        <v>6.3</v>
      </c>
      <c r="R374" s="3">
        <v>48</v>
      </c>
      <c r="S374" s="3">
        <v>16</v>
      </c>
      <c r="T374" s="3">
        <v>72.290000000000006</v>
      </c>
    </row>
    <row r="375" spans="16:20" x14ac:dyDescent="0.25">
      <c r="P375">
        <v>65.886537849099099</v>
      </c>
      <c r="Q375">
        <v>7.2</v>
      </c>
      <c r="R375">
        <v>85</v>
      </c>
      <c r="S375">
        <v>29</v>
      </c>
      <c r="T375">
        <v>97.71</v>
      </c>
    </row>
    <row r="376" spans="16:20" x14ac:dyDescent="0.25">
      <c r="P376" s="3">
        <v>40</v>
      </c>
      <c r="Q376" s="3">
        <v>7.9</v>
      </c>
      <c r="R376" s="3">
        <v>49</v>
      </c>
      <c r="S376" s="3">
        <v>17</v>
      </c>
      <c r="T376" s="3">
        <v>98.31</v>
      </c>
    </row>
    <row r="377" spans="16:20" x14ac:dyDescent="0.25">
      <c r="P377">
        <v>48.910347003593202</v>
      </c>
      <c r="Q377">
        <v>7.2</v>
      </c>
      <c r="R377">
        <v>67</v>
      </c>
      <c r="S377">
        <v>20</v>
      </c>
      <c r="T377">
        <v>68.14</v>
      </c>
    </row>
    <row r="378" spans="16:20" x14ac:dyDescent="0.25">
      <c r="P378" s="3">
        <v>45.488599306905101</v>
      </c>
      <c r="Q378" s="3">
        <v>4.8</v>
      </c>
      <c r="R378" s="3">
        <v>87</v>
      </c>
      <c r="S378" s="3">
        <v>4</v>
      </c>
      <c r="T378" s="3">
        <v>67.239999999999995</v>
      </c>
    </row>
    <row r="379" spans="16:20" x14ac:dyDescent="0.25">
      <c r="P379">
        <v>40</v>
      </c>
      <c r="Q379">
        <v>6.6</v>
      </c>
      <c r="R379">
        <v>46</v>
      </c>
      <c r="S379">
        <v>4</v>
      </c>
      <c r="T379">
        <v>95</v>
      </c>
    </row>
    <row r="380" spans="16:20" x14ac:dyDescent="0.25">
      <c r="P380" s="3">
        <v>40</v>
      </c>
      <c r="Q380" s="3">
        <v>6.2</v>
      </c>
      <c r="R380" s="3">
        <v>58</v>
      </c>
      <c r="S380" s="3">
        <v>16</v>
      </c>
      <c r="T380" s="3">
        <v>84.73</v>
      </c>
    </row>
    <row r="381" spans="16:20" x14ac:dyDescent="0.25">
      <c r="P381">
        <v>59.269676390085998</v>
      </c>
      <c r="Q381">
        <v>7.2</v>
      </c>
      <c r="R381">
        <v>98</v>
      </c>
      <c r="S381">
        <v>17</v>
      </c>
      <c r="T381">
        <v>72.400000000000006</v>
      </c>
    </row>
    <row r="382" spans="16:20" x14ac:dyDescent="0.25">
      <c r="P382" s="3">
        <v>40</v>
      </c>
      <c r="Q382" s="3">
        <v>7.2</v>
      </c>
      <c r="R382" s="3">
        <v>46</v>
      </c>
      <c r="S382" s="3">
        <v>9</v>
      </c>
      <c r="T382" s="3">
        <v>81.16</v>
      </c>
    </row>
    <row r="383" spans="16:20" x14ac:dyDescent="0.25">
      <c r="P383">
        <v>47.5736842315102</v>
      </c>
      <c r="Q383">
        <v>4.5</v>
      </c>
      <c r="R383">
        <v>99</v>
      </c>
      <c r="S383">
        <v>7</v>
      </c>
      <c r="T383">
        <v>67.58</v>
      </c>
    </row>
    <row r="384" spans="16:20" x14ac:dyDescent="0.25">
      <c r="P384" s="3">
        <v>63.932028517755001</v>
      </c>
      <c r="Q384" s="3">
        <v>4.7</v>
      </c>
      <c r="R384" s="3">
        <v>84</v>
      </c>
      <c r="S384" s="3">
        <v>6</v>
      </c>
      <c r="T384" s="3">
        <v>99.38</v>
      </c>
    </row>
    <row r="385" spans="16:20" x14ac:dyDescent="0.25">
      <c r="P385">
        <v>51.091741666129401</v>
      </c>
      <c r="Q385">
        <v>4.4000000000000004</v>
      </c>
      <c r="R385">
        <v>73</v>
      </c>
      <c r="S385">
        <v>16</v>
      </c>
      <c r="T385">
        <v>69.900000000000006</v>
      </c>
    </row>
    <row r="386" spans="16:20" x14ac:dyDescent="0.25">
      <c r="P386" s="3">
        <v>40</v>
      </c>
      <c r="Q386" s="3">
        <v>4.5</v>
      </c>
      <c r="R386" s="3">
        <v>52</v>
      </c>
      <c r="S386" s="3">
        <v>17</v>
      </c>
      <c r="T386" s="3">
        <v>93.23</v>
      </c>
    </row>
    <row r="387" spans="16:20" x14ac:dyDescent="0.25">
      <c r="P387">
        <v>43.170436563150503</v>
      </c>
      <c r="Q387">
        <v>6.6</v>
      </c>
      <c r="R387">
        <v>60</v>
      </c>
      <c r="S387">
        <v>15</v>
      </c>
      <c r="T387">
        <v>98.54</v>
      </c>
    </row>
    <row r="388" spans="16:20" x14ac:dyDescent="0.25">
      <c r="P388" s="3">
        <v>52.132992403793502</v>
      </c>
      <c r="Q388" s="3">
        <v>4</v>
      </c>
      <c r="R388" s="3">
        <v>72</v>
      </c>
      <c r="S388" s="3">
        <v>22</v>
      </c>
      <c r="T388" s="3">
        <v>89.89</v>
      </c>
    </row>
    <row r="389" spans="16:20" x14ac:dyDescent="0.25">
      <c r="P389">
        <v>44.981996940579101</v>
      </c>
      <c r="Q389">
        <v>7.9</v>
      </c>
      <c r="R389">
        <v>72</v>
      </c>
      <c r="S389">
        <v>18</v>
      </c>
      <c r="T389">
        <v>68.099999999999994</v>
      </c>
    </row>
    <row r="390" spans="16:20" x14ac:dyDescent="0.25">
      <c r="P390" s="3">
        <v>40</v>
      </c>
      <c r="Q390" s="3">
        <v>6.8</v>
      </c>
      <c r="R390" s="3">
        <v>47</v>
      </c>
      <c r="S390" s="3">
        <v>8</v>
      </c>
      <c r="T390" s="3">
        <v>85.65</v>
      </c>
    </row>
    <row r="391" spans="16:20" x14ac:dyDescent="0.25">
      <c r="P391">
        <v>40</v>
      </c>
      <c r="Q391">
        <v>7.6</v>
      </c>
      <c r="R391">
        <v>79</v>
      </c>
      <c r="S391">
        <v>6</v>
      </c>
      <c r="T391">
        <v>69.52</v>
      </c>
    </row>
    <row r="392" spans="16:20" x14ac:dyDescent="0.25">
      <c r="P392" s="3">
        <v>63.829751500972399</v>
      </c>
      <c r="Q392" s="3">
        <v>6.4</v>
      </c>
      <c r="R392" s="3">
        <v>72</v>
      </c>
      <c r="S392" s="3">
        <v>25</v>
      </c>
      <c r="T392" s="3">
        <v>95.34</v>
      </c>
    </row>
    <row r="393" spans="16:20" x14ac:dyDescent="0.25">
      <c r="P393">
        <v>56.522905186488103</v>
      </c>
      <c r="Q393">
        <v>8.5</v>
      </c>
      <c r="R393">
        <v>85</v>
      </c>
      <c r="S393">
        <v>28</v>
      </c>
      <c r="T393">
        <v>88.55</v>
      </c>
    </row>
    <row r="394" spans="16:20" x14ac:dyDescent="0.25">
      <c r="P394" s="3">
        <v>70.254435014755202</v>
      </c>
      <c r="Q394" s="3">
        <v>8.1</v>
      </c>
      <c r="R394" s="3">
        <v>92</v>
      </c>
      <c r="S394" s="3">
        <v>26</v>
      </c>
      <c r="T394" s="3">
        <v>97.97</v>
      </c>
    </row>
    <row r="395" spans="16:20" x14ac:dyDescent="0.25">
      <c r="P395">
        <v>47.781885315894897</v>
      </c>
      <c r="Q395">
        <v>6.5</v>
      </c>
      <c r="R395">
        <v>70</v>
      </c>
      <c r="S395">
        <v>22</v>
      </c>
      <c r="T395">
        <v>70.11</v>
      </c>
    </row>
    <row r="396" spans="16:20" x14ac:dyDescent="0.25">
      <c r="P396" s="3">
        <v>60.915064435702703</v>
      </c>
      <c r="Q396" s="3">
        <v>5.2</v>
      </c>
      <c r="R396" s="3">
        <v>70</v>
      </c>
      <c r="S396" s="3">
        <v>15</v>
      </c>
      <c r="T396" s="3">
        <v>80.88</v>
      </c>
    </row>
    <row r="397" spans="16:20" x14ac:dyDescent="0.25">
      <c r="P397">
        <v>49.798728433007703</v>
      </c>
      <c r="Q397">
        <v>4.5999999999999996</v>
      </c>
      <c r="R397">
        <v>65</v>
      </c>
      <c r="S397">
        <v>9</v>
      </c>
      <c r="T397">
        <v>84.02</v>
      </c>
    </row>
    <row r="398" spans="16:20" x14ac:dyDescent="0.25">
      <c r="P398" s="3">
        <v>49.570039076609802</v>
      </c>
      <c r="Q398" s="3">
        <v>8.1999999999999993</v>
      </c>
      <c r="R398" s="3">
        <v>65</v>
      </c>
      <c r="S398" s="3">
        <v>15</v>
      </c>
      <c r="T398" s="3">
        <v>68.790000000000006</v>
      </c>
    </row>
    <row r="399" spans="16:20" x14ac:dyDescent="0.25">
      <c r="P399">
        <v>61.0167329394923</v>
      </c>
      <c r="Q399">
        <v>7.4</v>
      </c>
      <c r="R399">
        <v>91</v>
      </c>
      <c r="S399">
        <v>3</v>
      </c>
      <c r="T399">
        <v>88.69</v>
      </c>
    </row>
    <row r="400" spans="16:20" x14ac:dyDescent="0.25">
      <c r="P400" s="3">
        <v>56.583481280789002</v>
      </c>
      <c r="Q400" s="3">
        <v>5.3</v>
      </c>
      <c r="R400" s="3">
        <v>86</v>
      </c>
      <c r="S400" s="3">
        <v>16</v>
      </c>
      <c r="T400" s="3">
        <v>84.83</v>
      </c>
    </row>
    <row r="401" spans="16:20" x14ac:dyDescent="0.25">
      <c r="P401">
        <v>56.189570553878099</v>
      </c>
      <c r="Q401">
        <v>7.6</v>
      </c>
      <c r="R401">
        <v>97</v>
      </c>
      <c r="S401">
        <v>4</v>
      </c>
      <c r="T401">
        <v>77.180000000000007</v>
      </c>
    </row>
    <row r="402" spans="16:20" x14ac:dyDescent="0.25">
      <c r="P402" s="3">
        <v>58.962751226121803</v>
      </c>
      <c r="Q402" s="3">
        <v>5.5</v>
      </c>
      <c r="R402" s="3">
        <v>89</v>
      </c>
      <c r="S402" s="3">
        <v>27</v>
      </c>
      <c r="T402" s="3">
        <v>79.45</v>
      </c>
    </row>
    <row r="403" spans="16:20" x14ac:dyDescent="0.25">
      <c r="P403">
        <v>49.481728190388701</v>
      </c>
      <c r="Q403">
        <v>5.3</v>
      </c>
      <c r="R403">
        <v>69</v>
      </c>
      <c r="S403">
        <v>5</v>
      </c>
      <c r="T403">
        <v>92.87</v>
      </c>
    </row>
    <row r="404" spans="16:20" x14ac:dyDescent="0.25">
      <c r="P404" s="3">
        <v>40.772860031621697</v>
      </c>
      <c r="Q404" s="3">
        <v>7.7</v>
      </c>
      <c r="R404" s="3">
        <v>60</v>
      </c>
      <c r="S404" s="3">
        <v>3</v>
      </c>
      <c r="T404" s="3">
        <v>77.47</v>
      </c>
    </row>
    <row r="405" spans="16:20" x14ac:dyDescent="0.25">
      <c r="P405">
        <v>57.218512325342502</v>
      </c>
      <c r="Q405">
        <v>7.7</v>
      </c>
      <c r="R405">
        <v>86</v>
      </c>
      <c r="S405">
        <v>4</v>
      </c>
      <c r="T405">
        <v>99.04</v>
      </c>
    </row>
    <row r="406" spans="16:20" x14ac:dyDescent="0.25">
      <c r="P406" s="3">
        <v>43.4596735706617</v>
      </c>
      <c r="Q406" s="3">
        <v>8.1</v>
      </c>
      <c r="R406" s="3">
        <v>52</v>
      </c>
      <c r="S406" s="3">
        <v>24</v>
      </c>
      <c r="T406" s="3">
        <v>97.14</v>
      </c>
    </row>
    <row r="407" spans="16:20" x14ac:dyDescent="0.25">
      <c r="P407">
        <v>48.863030675231499</v>
      </c>
      <c r="Q407">
        <v>8.1999999999999993</v>
      </c>
      <c r="R407">
        <v>77</v>
      </c>
      <c r="S407">
        <v>22</v>
      </c>
      <c r="T407">
        <v>67.73</v>
      </c>
    </row>
    <row r="408" spans="16:20" x14ac:dyDescent="0.25">
      <c r="P408" s="3">
        <v>54.537830503983102</v>
      </c>
      <c r="Q408" s="3">
        <v>6.7</v>
      </c>
      <c r="R408" s="3">
        <v>70</v>
      </c>
      <c r="S408" s="3">
        <v>16</v>
      </c>
      <c r="T408" s="3">
        <v>94.83</v>
      </c>
    </row>
    <row r="409" spans="16:20" x14ac:dyDescent="0.25">
      <c r="P409">
        <v>40</v>
      </c>
      <c r="Q409">
        <v>5.3</v>
      </c>
      <c r="R409">
        <v>49</v>
      </c>
      <c r="S409">
        <v>4</v>
      </c>
      <c r="T409">
        <v>88.58</v>
      </c>
    </row>
    <row r="410" spans="16:20" x14ac:dyDescent="0.25">
      <c r="P410" s="3">
        <v>46.011228133699198</v>
      </c>
      <c r="Q410" s="3">
        <v>7</v>
      </c>
      <c r="R410" s="3">
        <v>68</v>
      </c>
      <c r="S410" s="3">
        <v>10</v>
      </c>
      <c r="T410" s="3">
        <v>66.94</v>
      </c>
    </row>
    <row r="411" spans="16:20" x14ac:dyDescent="0.25">
      <c r="P411">
        <v>65.242854692942203</v>
      </c>
      <c r="Q411">
        <v>5.5</v>
      </c>
      <c r="R411">
        <v>98</v>
      </c>
      <c r="S411">
        <v>10</v>
      </c>
      <c r="T411">
        <v>98.44</v>
      </c>
    </row>
    <row r="412" spans="16:20" x14ac:dyDescent="0.25">
      <c r="P412" s="3">
        <v>57.973957010638799</v>
      </c>
      <c r="Q412" s="3">
        <v>8</v>
      </c>
      <c r="R412" s="3">
        <v>83</v>
      </c>
      <c r="S412" s="3">
        <v>5</v>
      </c>
      <c r="T412" s="3">
        <v>94.17</v>
      </c>
    </row>
    <row r="413" spans="16:20" x14ac:dyDescent="0.25">
      <c r="P413">
        <v>66.397745052328204</v>
      </c>
      <c r="Q413">
        <v>4.5999999999999996</v>
      </c>
      <c r="R413">
        <v>97</v>
      </c>
      <c r="S413">
        <v>21</v>
      </c>
      <c r="T413">
        <v>94.14</v>
      </c>
    </row>
    <row r="414" spans="16:20" x14ac:dyDescent="0.25">
      <c r="P414" s="3">
        <v>40.648643986805403</v>
      </c>
      <c r="Q414" s="3">
        <v>5.6</v>
      </c>
      <c r="R414" s="3">
        <v>47</v>
      </c>
      <c r="S414" s="3">
        <v>12</v>
      </c>
      <c r="T414" s="3">
        <v>97.05</v>
      </c>
    </row>
    <row r="415" spans="16:20" x14ac:dyDescent="0.25">
      <c r="P415">
        <v>59.821863903959503</v>
      </c>
      <c r="Q415">
        <v>4.2</v>
      </c>
      <c r="R415">
        <v>93</v>
      </c>
      <c r="S415">
        <v>25</v>
      </c>
      <c r="T415">
        <v>97.24</v>
      </c>
    </row>
    <row r="416" spans="16:20" x14ac:dyDescent="0.25">
      <c r="P416" s="3">
        <v>55.223286150985501</v>
      </c>
      <c r="Q416" s="3">
        <v>6.2</v>
      </c>
      <c r="R416" s="3">
        <v>67</v>
      </c>
      <c r="S416" s="3">
        <v>27</v>
      </c>
      <c r="T416" s="3">
        <v>72.67</v>
      </c>
    </row>
    <row r="417" spans="16:20" x14ac:dyDescent="0.25">
      <c r="P417">
        <v>59.398623908108902</v>
      </c>
      <c r="Q417">
        <v>4.7</v>
      </c>
      <c r="R417">
        <v>88</v>
      </c>
      <c r="S417">
        <v>27</v>
      </c>
      <c r="T417">
        <v>97.81</v>
      </c>
    </row>
    <row r="418" spans="16:20" x14ac:dyDescent="0.25">
      <c r="P418" s="3">
        <v>51.436583170306299</v>
      </c>
      <c r="Q418" s="3">
        <v>8.9</v>
      </c>
      <c r="R418" s="3">
        <v>87</v>
      </c>
      <c r="S418" s="3">
        <v>11</v>
      </c>
      <c r="T418" s="3">
        <v>66.680000000000007</v>
      </c>
    </row>
    <row r="419" spans="16:20" x14ac:dyDescent="0.25">
      <c r="P419">
        <v>64.5585933385766</v>
      </c>
      <c r="Q419">
        <v>5.8</v>
      </c>
      <c r="R419">
        <v>85</v>
      </c>
      <c r="S419">
        <v>11</v>
      </c>
      <c r="T419">
        <v>95.85</v>
      </c>
    </row>
    <row r="420" spans="16:20" x14ac:dyDescent="0.25">
      <c r="P420" s="3">
        <v>43.331087309396601</v>
      </c>
      <c r="Q420" s="3">
        <v>7.9</v>
      </c>
      <c r="R420" s="3">
        <v>74</v>
      </c>
      <c r="S420" s="3">
        <v>5</v>
      </c>
      <c r="T420" s="3">
        <v>80.98</v>
      </c>
    </row>
    <row r="421" spans="16:20" x14ac:dyDescent="0.25">
      <c r="P421">
        <v>47.155685545282402</v>
      </c>
      <c r="Q421">
        <v>8.1</v>
      </c>
      <c r="R421">
        <v>54</v>
      </c>
      <c r="S421">
        <v>27</v>
      </c>
      <c r="T421">
        <v>94.09</v>
      </c>
    </row>
    <row r="422" spans="16:20" x14ac:dyDescent="0.25">
      <c r="P422" s="3">
        <v>40.5044655649587</v>
      </c>
      <c r="Q422" s="3">
        <v>4.5</v>
      </c>
      <c r="R422" s="3">
        <v>49</v>
      </c>
      <c r="S422" s="3">
        <v>18</v>
      </c>
      <c r="T422" s="3">
        <v>74.56</v>
      </c>
    </row>
    <row r="423" spans="16:20" x14ac:dyDescent="0.25">
      <c r="P423">
        <v>40</v>
      </c>
      <c r="Q423">
        <v>7.3</v>
      </c>
      <c r="R423">
        <v>53</v>
      </c>
      <c r="S423">
        <v>26</v>
      </c>
      <c r="T423">
        <v>91.42</v>
      </c>
    </row>
    <row r="424" spans="16:20" x14ac:dyDescent="0.25">
      <c r="P424" s="3">
        <v>50.487121880632102</v>
      </c>
      <c r="Q424" s="3">
        <v>5.7</v>
      </c>
      <c r="R424" s="3">
        <v>84</v>
      </c>
      <c r="S424" s="3">
        <v>12</v>
      </c>
      <c r="T424" s="3">
        <v>93.16</v>
      </c>
    </row>
    <row r="425" spans="16:20" x14ac:dyDescent="0.25">
      <c r="P425">
        <v>60.622824252633102</v>
      </c>
      <c r="Q425">
        <v>5.5</v>
      </c>
      <c r="R425">
        <v>81</v>
      </c>
      <c r="S425">
        <v>28</v>
      </c>
      <c r="T425">
        <v>67.83</v>
      </c>
    </row>
    <row r="426" spans="16:20" x14ac:dyDescent="0.25">
      <c r="P426" s="3">
        <v>63.560481555100402</v>
      </c>
      <c r="Q426" s="3">
        <v>7.8</v>
      </c>
      <c r="R426" s="3">
        <v>86</v>
      </c>
      <c r="S426" s="3">
        <v>25</v>
      </c>
      <c r="T426" s="3">
        <v>97</v>
      </c>
    </row>
    <row r="427" spans="16:20" x14ac:dyDescent="0.25">
      <c r="P427">
        <v>59.647611344299101</v>
      </c>
      <c r="Q427">
        <v>5.3</v>
      </c>
      <c r="R427">
        <v>80</v>
      </c>
      <c r="S427">
        <v>16</v>
      </c>
      <c r="T427">
        <v>93.6</v>
      </c>
    </row>
    <row r="428" spans="16:20" x14ac:dyDescent="0.25">
      <c r="P428" s="3">
        <v>49.947041741593601</v>
      </c>
      <c r="Q428" s="3">
        <v>5.5</v>
      </c>
      <c r="R428" s="3">
        <v>69</v>
      </c>
      <c r="S428" s="3">
        <v>13</v>
      </c>
      <c r="T428" s="3">
        <v>85.84</v>
      </c>
    </row>
    <row r="429" spans="16:20" x14ac:dyDescent="0.25">
      <c r="P429">
        <v>51.591806097957601</v>
      </c>
      <c r="Q429">
        <v>7.8</v>
      </c>
      <c r="R429">
        <v>89</v>
      </c>
      <c r="S429">
        <v>26</v>
      </c>
      <c r="T429">
        <v>89.78</v>
      </c>
    </row>
    <row r="430" spans="16:20" x14ac:dyDescent="0.25">
      <c r="P430" s="3">
        <v>46.827259585578297</v>
      </c>
      <c r="Q430" s="3">
        <v>5.7</v>
      </c>
      <c r="R430" s="3">
        <v>71</v>
      </c>
      <c r="S430" s="3">
        <v>27</v>
      </c>
      <c r="T430" s="3">
        <v>77.099999999999994</v>
      </c>
    </row>
    <row r="431" spans="16:20" x14ac:dyDescent="0.25">
      <c r="P431">
        <v>40</v>
      </c>
      <c r="Q431">
        <v>6</v>
      </c>
      <c r="R431">
        <v>53</v>
      </c>
      <c r="S431">
        <v>8</v>
      </c>
      <c r="T431">
        <v>81.47</v>
      </c>
    </row>
    <row r="432" spans="16:20" x14ac:dyDescent="0.25">
      <c r="P432" s="3">
        <v>63.140608003518501</v>
      </c>
      <c r="Q432" s="3">
        <v>7.7</v>
      </c>
      <c r="R432" s="3">
        <v>96</v>
      </c>
      <c r="S432" s="3">
        <v>25</v>
      </c>
      <c r="T432" s="3">
        <v>70.16</v>
      </c>
    </row>
    <row r="433" spans="16:20" x14ac:dyDescent="0.25">
      <c r="P433">
        <v>69.451297924364198</v>
      </c>
      <c r="Q433">
        <v>4.7</v>
      </c>
      <c r="R433">
        <v>88</v>
      </c>
      <c r="S433">
        <v>14</v>
      </c>
      <c r="T433">
        <v>82.5</v>
      </c>
    </row>
    <row r="434" spans="16:20" x14ac:dyDescent="0.25">
      <c r="P434" s="3">
        <v>40.643126571440497</v>
      </c>
      <c r="Q434" s="3">
        <v>7.5</v>
      </c>
      <c r="R434" s="3">
        <v>72</v>
      </c>
      <c r="S434" s="3">
        <v>4</v>
      </c>
      <c r="T434" s="3">
        <v>92.4</v>
      </c>
    </row>
    <row r="435" spans="16:20" x14ac:dyDescent="0.25">
      <c r="P435">
        <v>63.163693529746801</v>
      </c>
      <c r="Q435">
        <v>5.6</v>
      </c>
      <c r="R435">
        <v>85</v>
      </c>
      <c r="S435">
        <v>23</v>
      </c>
      <c r="T435">
        <v>84.54</v>
      </c>
    </row>
    <row r="436" spans="16:20" x14ac:dyDescent="0.25">
      <c r="P436" s="3">
        <v>58.7813786455784</v>
      </c>
      <c r="Q436" s="3">
        <v>8.1999999999999993</v>
      </c>
      <c r="R436" s="3">
        <v>82</v>
      </c>
      <c r="S436" s="3">
        <v>22</v>
      </c>
      <c r="T436" s="3">
        <v>69.67</v>
      </c>
    </row>
    <row r="437" spans="16:20" x14ac:dyDescent="0.25">
      <c r="P437">
        <v>59.839648284628602</v>
      </c>
      <c r="Q437">
        <v>7.1</v>
      </c>
      <c r="R437">
        <v>89</v>
      </c>
      <c r="S437">
        <v>15</v>
      </c>
      <c r="T437">
        <v>94.03</v>
      </c>
    </row>
    <row r="438" spans="16:20" x14ac:dyDescent="0.25">
      <c r="P438" s="3">
        <v>40</v>
      </c>
      <c r="Q438" s="3">
        <v>4</v>
      </c>
      <c r="R438" s="3">
        <v>50</v>
      </c>
      <c r="S438" s="3">
        <v>4</v>
      </c>
      <c r="T438" s="3">
        <v>90.83</v>
      </c>
    </row>
    <row r="439" spans="16:20" x14ac:dyDescent="0.25">
      <c r="P439">
        <v>52.028568195570102</v>
      </c>
      <c r="Q439">
        <v>4.7</v>
      </c>
      <c r="R439">
        <v>89</v>
      </c>
      <c r="S439">
        <v>25</v>
      </c>
      <c r="T439">
        <v>66.31</v>
      </c>
    </row>
    <row r="440" spans="16:20" x14ac:dyDescent="0.25">
      <c r="P440" s="3">
        <v>50.733918812545902</v>
      </c>
      <c r="Q440" s="3">
        <v>7.8</v>
      </c>
      <c r="R440" s="3">
        <v>95</v>
      </c>
      <c r="S440" s="3">
        <v>14</v>
      </c>
      <c r="T440" s="3">
        <v>93.17</v>
      </c>
    </row>
    <row r="441" spans="16:20" x14ac:dyDescent="0.25">
      <c r="P441">
        <v>46.92818584354</v>
      </c>
      <c r="Q441">
        <v>5.0999999999999996</v>
      </c>
      <c r="R441">
        <v>66</v>
      </c>
      <c r="S441">
        <v>7</v>
      </c>
      <c r="T441">
        <v>95.28</v>
      </c>
    </row>
    <row r="442" spans="16:20" x14ac:dyDescent="0.25">
      <c r="P442" s="3">
        <v>57.673587830059098</v>
      </c>
      <c r="Q442" s="3">
        <v>4.0999999999999996</v>
      </c>
      <c r="R442" s="3">
        <v>91</v>
      </c>
      <c r="S442" s="3">
        <v>12</v>
      </c>
      <c r="T442" s="3">
        <v>82.93</v>
      </c>
    </row>
    <row r="443" spans="16:20" x14ac:dyDescent="0.25">
      <c r="P443">
        <v>60.160242686674302</v>
      </c>
      <c r="Q443">
        <v>7.7</v>
      </c>
      <c r="R443">
        <v>92</v>
      </c>
      <c r="S443">
        <v>12</v>
      </c>
      <c r="T443">
        <v>78.25</v>
      </c>
    </row>
    <row r="444" spans="16:20" x14ac:dyDescent="0.25">
      <c r="P444" s="3">
        <v>42.063085618116098</v>
      </c>
      <c r="Q444" s="3">
        <v>7.4</v>
      </c>
      <c r="R444" s="3">
        <v>70</v>
      </c>
      <c r="S444" s="3">
        <v>5</v>
      </c>
      <c r="T444" s="3">
        <v>67.92</v>
      </c>
    </row>
    <row r="445" spans="16:20" x14ac:dyDescent="0.25">
      <c r="P445">
        <v>56.259074827777603</v>
      </c>
      <c r="Q445">
        <v>5.0999999999999996</v>
      </c>
      <c r="R445">
        <v>90</v>
      </c>
      <c r="S445">
        <v>19</v>
      </c>
      <c r="T445">
        <v>93.99</v>
      </c>
    </row>
    <row r="446" spans="16:20" x14ac:dyDescent="0.25">
      <c r="P446" s="3">
        <v>40</v>
      </c>
      <c r="Q446" s="3">
        <v>7.1</v>
      </c>
      <c r="R446" s="3">
        <v>52</v>
      </c>
      <c r="S446" s="3">
        <v>23</v>
      </c>
      <c r="T446" s="3">
        <v>65.13</v>
      </c>
    </row>
    <row r="447" spans="16:20" x14ac:dyDescent="0.25">
      <c r="P447">
        <v>44.045858917145601</v>
      </c>
      <c r="Q447">
        <v>7.1</v>
      </c>
      <c r="R447">
        <v>71</v>
      </c>
      <c r="S447">
        <v>3</v>
      </c>
      <c r="T447">
        <v>77.02</v>
      </c>
    </row>
    <row r="448" spans="16:20" x14ac:dyDescent="0.25">
      <c r="P448" s="3">
        <v>49.400949857148802</v>
      </c>
      <c r="Q448" s="3">
        <v>8.6999999999999993</v>
      </c>
      <c r="R448" s="3">
        <v>77</v>
      </c>
      <c r="S448" s="3">
        <v>6</v>
      </c>
      <c r="T448" s="3">
        <v>76.47</v>
      </c>
    </row>
    <row r="449" spans="16:20" x14ac:dyDescent="0.25">
      <c r="P449">
        <v>55.038850826098297</v>
      </c>
      <c r="Q449">
        <v>4.5</v>
      </c>
      <c r="R449">
        <v>50</v>
      </c>
      <c r="S449">
        <v>29</v>
      </c>
      <c r="T449">
        <v>96.92</v>
      </c>
    </row>
    <row r="450" spans="16:20" x14ac:dyDescent="0.25">
      <c r="P450" s="3">
        <v>66.778436433912105</v>
      </c>
      <c r="Q450" s="3">
        <v>4.9000000000000004</v>
      </c>
      <c r="R450" s="3">
        <v>83</v>
      </c>
      <c r="S450" s="3">
        <v>24</v>
      </c>
      <c r="T450" s="3">
        <v>80.73</v>
      </c>
    </row>
    <row r="451" spans="16:20" x14ac:dyDescent="0.25">
      <c r="P451">
        <v>45.580272547262098</v>
      </c>
      <c r="Q451">
        <v>5.5</v>
      </c>
      <c r="R451">
        <v>63</v>
      </c>
      <c r="S451">
        <v>4</v>
      </c>
      <c r="T451">
        <v>96.1</v>
      </c>
    </row>
    <row r="452" spans="16:20" x14ac:dyDescent="0.25">
      <c r="P452" s="3">
        <v>48.236774223649299</v>
      </c>
      <c r="Q452" s="3">
        <v>7.8</v>
      </c>
      <c r="R452" s="3">
        <v>97</v>
      </c>
      <c r="S452" s="3">
        <v>4</v>
      </c>
      <c r="T452" s="3">
        <v>68.13</v>
      </c>
    </row>
    <row r="453" spans="16:20" x14ac:dyDescent="0.25">
      <c r="P453">
        <v>54.864118130123103</v>
      </c>
      <c r="Q453">
        <v>6.4</v>
      </c>
      <c r="R453">
        <v>58</v>
      </c>
      <c r="S453">
        <v>22</v>
      </c>
      <c r="T453">
        <v>94.61</v>
      </c>
    </row>
    <row r="454" spans="16:20" x14ac:dyDescent="0.25">
      <c r="P454" s="3">
        <v>61.570848511571398</v>
      </c>
      <c r="Q454" s="3">
        <v>5.8</v>
      </c>
      <c r="R454" s="3">
        <v>57</v>
      </c>
      <c r="S454" s="3">
        <v>29</v>
      </c>
      <c r="T454" s="3">
        <v>86.43</v>
      </c>
    </row>
    <row r="455" spans="16:20" x14ac:dyDescent="0.25">
      <c r="P455">
        <v>40</v>
      </c>
      <c r="Q455">
        <v>5.9</v>
      </c>
      <c r="R455">
        <v>49</v>
      </c>
      <c r="S455">
        <v>22</v>
      </c>
      <c r="T455">
        <v>83.83</v>
      </c>
    </row>
    <row r="456" spans="16:20" x14ac:dyDescent="0.25">
      <c r="P456" s="3">
        <v>50.354725629190398</v>
      </c>
      <c r="Q456" s="3">
        <v>6.5</v>
      </c>
      <c r="R456" s="3">
        <v>86</v>
      </c>
      <c r="S456" s="3">
        <v>11</v>
      </c>
      <c r="T456" s="3">
        <v>75.709999999999994</v>
      </c>
    </row>
    <row r="457" spans="16:20" x14ac:dyDescent="0.25">
      <c r="P457">
        <v>44.230295965874397</v>
      </c>
      <c r="Q457">
        <v>5.6</v>
      </c>
      <c r="R457">
        <v>50</v>
      </c>
      <c r="S457">
        <v>28</v>
      </c>
      <c r="T457">
        <v>82.16</v>
      </c>
    </row>
    <row r="458" spans="16:20" x14ac:dyDescent="0.25">
      <c r="P458" s="3">
        <v>47.724928875710901</v>
      </c>
      <c r="Q458" s="3">
        <v>7.4</v>
      </c>
      <c r="R458" s="3">
        <v>72</v>
      </c>
      <c r="S458" s="3">
        <v>13</v>
      </c>
      <c r="T458" s="3">
        <v>74.569999999999993</v>
      </c>
    </row>
    <row r="459" spans="16:20" x14ac:dyDescent="0.25">
      <c r="P459">
        <v>48.007924043075398</v>
      </c>
      <c r="Q459">
        <v>4.0999999999999996</v>
      </c>
      <c r="R459">
        <v>67</v>
      </c>
      <c r="S459">
        <v>28</v>
      </c>
      <c r="T459">
        <v>80.95</v>
      </c>
    </row>
    <row r="460" spans="16:20" x14ac:dyDescent="0.25">
      <c r="P460" s="3">
        <v>40.048486608863698</v>
      </c>
      <c r="Q460" s="3">
        <v>7</v>
      </c>
      <c r="R460" s="3">
        <v>67</v>
      </c>
      <c r="S460" s="3">
        <v>6</v>
      </c>
      <c r="T460" s="3">
        <v>91.91</v>
      </c>
    </row>
    <row r="461" spans="16:20" x14ac:dyDescent="0.25">
      <c r="P461">
        <v>62.339685404111002</v>
      </c>
      <c r="Q461">
        <v>5.8</v>
      </c>
      <c r="R461">
        <v>95</v>
      </c>
      <c r="S461">
        <v>13</v>
      </c>
      <c r="T461">
        <v>86.89</v>
      </c>
    </row>
    <row r="462" spans="16:20" x14ac:dyDescent="0.25">
      <c r="P462" s="3">
        <v>55.088117775887099</v>
      </c>
      <c r="Q462" s="3">
        <v>6.4</v>
      </c>
      <c r="R462" s="3">
        <v>77</v>
      </c>
      <c r="S462" s="3">
        <v>24</v>
      </c>
      <c r="T462" s="3">
        <v>88.82</v>
      </c>
    </row>
    <row r="463" spans="16:20" x14ac:dyDescent="0.25">
      <c r="P463">
        <v>64.991418593703699</v>
      </c>
      <c r="Q463">
        <v>7.8</v>
      </c>
      <c r="R463">
        <v>83</v>
      </c>
      <c r="S463">
        <v>23</v>
      </c>
      <c r="T463">
        <v>96.23</v>
      </c>
    </row>
    <row r="464" spans="16:20" x14ac:dyDescent="0.25">
      <c r="P464" s="3">
        <v>46.491649084702203</v>
      </c>
      <c r="Q464" s="3">
        <v>4.2</v>
      </c>
      <c r="R464" s="3">
        <v>58</v>
      </c>
      <c r="S464" s="3">
        <v>24</v>
      </c>
      <c r="T464" s="3">
        <v>66.849999999999994</v>
      </c>
    </row>
    <row r="465" spans="16:20" x14ac:dyDescent="0.25">
      <c r="P465">
        <v>57.492583429917403</v>
      </c>
      <c r="Q465">
        <v>5.0999999999999996</v>
      </c>
      <c r="R465">
        <v>77</v>
      </c>
      <c r="S465">
        <v>24</v>
      </c>
      <c r="T465">
        <v>71.959999999999994</v>
      </c>
    </row>
    <row r="466" spans="16:20" x14ac:dyDescent="0.25">
      <c r="P466" s="3">
        <v>59.984998731463499</v>
      </c>
      <c r="Q466" s="3">
        <v>6.6</v>
      </c>
      <c r="R466" s="3">
        <v>92</v>
      </c>
      <c r="S466" s="3">
        <v>16</v>
      </c>
      <c r="T466" s="3">
        <v>90.35</v>
      </c>
    </row>
    <row r="467" spans="16:20" x14ac:dyDescent="0.25">
      <c r="P467">
        <v>61.065143829740897</v>
      </c>
      <c r="Q467">
        <v>7.1</v>
      </c>
      <c r="R467">
        <v>84</v>
      </c>
      <c r="S467">
        <v>27</v>
      </c>
      <c r="T467">
        <v>79.290000000000006</v>
      </c>
    </row>
    <row r="468" spans="16:20" x14ac:dyDescent="0.25">
      <c r="P468" s="3">
        <v>59.615229399779103</v>
      </c>
      <c r="Q468" s="3">
        <v>4.9000000000000004</v>
      </c>
      <c r="R468" s="3">
        <v>97</v>
      </c>
      <c r="S468" s="3">
        <v>23</v>
      </c>
      <c r="T468" s="3">
        <v>87.76</v>
      </c>
    </row>
    <row r="469" spans="16:20" x14ac:dyDescent="0.25">
      <c r="P469">
        <v>65.696751805134596</v>
      </c>
      <c r="Q469">
        <v>5</v>
      </c>
      <c r="R469">
        <v>88</v>
      </c>
      <c r="S469">
        <v>29</v>
      </c>
      <c r="T469">
        <v>96.42</v>
      </c>
    </row>
    <row r="470" spans="16:20" x14ac:dyDescent="0.25">
      <c r="P470" s="3">
        <v>63.0090491137545</v>
      </c>
      <c r="Q470" s="3">
        <v>7.1</v>
      </c>
      <c r="R470" s="3">
        <v>89</v>
      </c>
      <c r="S470" s="3">
        <v>14</v>
      </c>
      <c r="T470" s="3">
        <v>90.76</v>
      </c>
    </row>
    <row r="471" spans="16:20" x14ac:dyDescent="0.25">
      <c r="P471">
        <v>59.772093200415398</v>
      </c>
      <c r="Q471">
        <v>7.6</v>
      </c>
      <c r="R471">
        <v>81</v>
      </c>
      <c r="S471">
        <v>4</v>
      </c>
      <c r="T471">
        <v>97.66</v>
      </c>
    </row>
    <row r="472" spans="16:20" x14ac:dyDescent="0.25">
      <c r="P472" s="3">
        <v>47.595946996522997</v>
      </c>
      <c r="Q472" s="3">
        <v>6.2</v>
      </c>
      <c r="R472" s="3">
        <v>83</v>
      </c>
      <c r="S472" s="3">
        <v>6</v>
      </c>
      <c r="T472" s="3">
        <v>70.319999999999993</v>
      </c>
    </row>
    <row r="473" spans="16:20" x14ac:dyDescent="0.25">
      <c r="P473">
        <v>49.197773756558</v>
      </c>
      <c r="Q473">
        <v>6.2</v>
      </c>
      <c r="R473">
        <v>60</v>
      </c>
      <c r="S473">
        <v>13</v>
      </c>
      <c r="T473">
        <v>91.48</v>
      </c>
    </row>
    <row r="474" spans="16:20" x14ac:dyDescent="0.25">
      <c r="P474" s="3">
        <v>64.551662109447307</v>
      </c>
      <c r="Q474" s="3">
        <v>6</v>
      </c>
      <c r="R474" s="3">
        <v>95</v>
      </c>
      <c r="S474" s="3">
        <v>7</v>
      </c>
      <c r="T474" s="3">
        <v>89.59</v>
      </c>
    </row>
    <row r="475" spans="16:20" x14ac:dyDescent="0.25">
      <c r="P475">
        <v>40</v>
      </c>
      <c r="Q475">
        <v>5.3</v>
      </c>
      <c r="R475">
        <v>78</v>
      </c>
      <c r="S475">
        <v>5</v>
      </c>
      <c r="T475">
        <v>65.260000000000005</v>
      </c>
    </row>
    <row r="476" spans="16:20" x14ac:dyDescent="0.25">
      <c r="P476" s="3">
        <v>40</v>
      </c>
      <c r="Q476" s="3">
        <v>8.9</v>
      </c>
      <c r="R476" s="3">
        <v>50</v>
      </c>
      <c r="S476" s="3">
        <v>15</v>
      </c>
      <c r="T476" s="3">
        <v>66.5</v>
      </c>
    </row>
    <row r="477" spans="16:20" x14ac:dyDescent="0.25">
      <c r="P477">
        <v>59.361461749500101</v>
      </c>
      <c r="Q477">
        <v>7.1</v>
      </c>
      <c r="R477">
        <v>96</v>
      </c>
      <c r="S477">
        <v>16</v>
      </c>
      <c r="T477">
        <v>66.180000000000007</v>
      </c>
    </row>
    <row r="478" spans="16:20" x14ac:dyDescent="0.25">
      <c r="P478" s="3">
        <v>40</v>
      </c>
      <c r="Q478" s="3">
        <v>5.8</v>
      </c>
      <c r="R478" s="3">
        <v>49</v>
      </c>
      <c r="S478" s="3">
        <v>6</v>
      </c>
      <c r="T478" s="3">
        <v>83.47</v>
      </c>
    </row>
    <row r="479" spans="16:20" x14ac:dyDescent="0.25">
      <c r="P479">
        <v>47.067674781116601</v>
      </c>
      <c r="Q479">
        <v>5.3</v>
      </c>
      <c r="R479">
        <v>73</v>
      </c>
      <c r="S479">
        <v>9</v>
      </c>
      <c r="T479">
        <v>92.18</v>
      </c>
    </row>
    <row r="480" spans="16:20" x14ac:dyDescent="0.25">
      <c r="P480" s="3">
        <v>46.551698538011003</v>
      </c>
      <c r="Q480" s="3">
        <v>5.3</v>
      </c>
      <c r="R480" s="3">
        <v>69</v>
      </c>
      <c r="S480" s="3">
        <v>3</v>
      </c>
      <c r="T480" s="3">
        <v>79.19</v>
      </c>
    </row>
    <row r="481" spans="16:20" x14ac:dyDescent="0.25">
      <c r="P481">
        <v>40</v>
      </c>
      <c r="Q481">
        <v>5.6</v>
      </c>
      <c r="R481">
        <v>70</v>
      </c>
      <c r="S481">
        <v>3</v>
      </c>
      <c r="T481">
        <v>65.11</v>
      </c>
    </row>
    <row r="482" spans="16:20" x14ac:dyDescent="0.25">
      <c r="P482" s="3">
        <v>52.528830378218899</v>
      </c>
      <c r="Q482" s="3">
        <v>6.8</v>
      </c>
      <c r="R482" s="3">
        <v>88</v>
      </c>
      <c r="S482" s="3">
        <v>9</v>
      </c>
      <c r="T482" s="3">
        <v>71.12</v>
      </c>
    </row>
    <row r="483" spans="16:20" x14ac:dyDescent="0.25">
      <c r="P483">
        <v>52.134459935515501</v>
      </c>
      <c r="Q483">
        <v>6.9</v>
      </c>
      <c r="R483">
        <v>81</v>
      </c>
      <c r="S483">
        <v>26</v>
      </c>
      <c r="T483">
        <v>98.2</v>
      </c>
    </row>
    <row r="484" spans="16:20" x14ac:dyDescent="0.25">
      <c r="P484" s="3">
        <v>41.416778057251101</v>
      </c>
      <c r="Q484" s="3">
        <v>7.3</v>
      </c>
      <c r="R484" s="3">
        <v>53</v>
      </c>
      <c r="S484" s="3">
        <v>26</v>
      </c>
      <c r="T484" s="3">
        <v>73.56</v>
      </c>
    </row>
    <row r="485" spans="16:20" x14ac:dyDescent="0.25">
      <c r="P485">
        <v>49.631442306945402</v>
      </c>
      <c r="Q485">
        <v>4.0999999999999996</v>
      </c>
      <c r="R485">
        <v>52</v>
      </c>
      <c r="S485">
        <v>28</v>
      </c>
      <c r="T485">
        <v>94.87</v>
      </c>
    </row>
    <row r="486" spans="16:20" x14ac:dyDescent="0.25">
      <c r="P486" s="3">
        <v>51.547413662957197</v>
      </c>
      <c r="Q486" s="3">
        <v>6.9</v>
      </c>
      <c r="R486" s="3">
        <v>82</v>
      </c>
      <c r="S486" s="3">
        <v>12</v>
      </c>
      <c r="T486" s="3">
        <v>77.959999999999994</v>
      </c>
    </row>
    <row r="487" spans="16:20" x14ac:dyDescent="0.25">
      <c r="P487">
        <v>51.283009982231</v>
      </c>
      <c r="Q487">
        <v>6.9</v>
      </c>
      <c r="R487">
        <v>66</v>
      </c>
      <c r="S487">
        <v>28</v>
      </c>
      <c r="T487">
        <v>83.25</v>
      </c>
    </row>
    <row r="488" spans="16:20" x14ac:dyDescent="0.25">
      <c r="P488" s="3">
        <v>60.072646497628199</v>
      </c>
      <c r="Q488" s="3">
        <v>8.6</v>
      </c>
      <c r="R488" s="3">
        <v>84</v>
      </c>
      <c r="S488" s="3">
        <v>28</v>
      </c>
      <c r="T488" s="3">
        <v>82.14</v>
      </c>
    </row>
    <row r="489" spans="16:20" x14ac:dyDescent="0.25">
      <c r="P489">
        <v>56.471112544933</v>
      </c>
      <c r="Q489">
        <v>5.2</v>
      </c>
      <c r="R489">
        <v>79</v>
      </c>
      <c r="S489">
        <v>18</v>
      </c>
      <c r="T489">
        <v>69.709999999999994</v>
      </c>
    </row>
    <row r="490" spans="16:20" x14ac:dyDescent="0.25">
      <c r="P490" s="3">
        <v>44.9019499972297</v>
      </c>
      <c r="Q490" s="3">
        <v>4.2</v>
      </c>
      <c r="R490" s="3">
        <v>56</v>
      </c>
      <c r="S490" s="3">
        <v>27</v>
      </c>
      <c r="T490" s="3">
        <v>77.819999999999993</v>
      </c>
    </row>
    <row r="491" spans="16:20" x14ac:dyDescent="0.25">
      <c r="P491">
        <v>58.341446706602198</v>
      </c>
      <c r="Q491">
        <v>8.6999999999999993</v>
      </c>
      <c r="R491">
        <v>81</v>
      </c>
      <c r="S491">
        <v>20</v>
      </c>
      <c r="T491">
        <v>99.99</v>
      </c>
    </row>
    <row r="492" spans="16:20" x14ac:dyDescent="0.25">
      <c r="P492" s="3">
        <v>58.678758571737497</v>
      </c>
      <c r="Q492" s="3">
        <v>6.8</v>
      </c>
      <c r="R492" s="3">
        <v>98</v>
      </c>
      <c r="S492" s="3">
        <v>7</v>
      </c>
      <c r="T492" s="3">
        <v>84.74</v>
      </c>
    </row>
    <row r="493" spans="16:20" x14ac:dyDescent="0.25">
      <c r="P493">
        <v>48.923213416861998</v>
      </c>
      <c r="Q493">
        <v>4.5</v>
      </c>
      <c r="R493">
        <v>68</v>
      </c>
      <c r="S493">
        <v>26</v>
      </c>
      <c r="T493">
        <v>81.28</v>
      </c>
    </row>
    <row r="494" spans="16:20" x14ac:dyDescent="0.25">
      <c r="P494" s="3">
        <v>46.4708439387665</v>
      </c>
      <c r="Q494" s="3">
        <v>5.6</v>
      </c>
      <c r="R494" s="3">
        <v>65</v>
      </c>
      <c r="S494" s="3">
        <v>25</v>
      </c>
      <c r="T494" s="3">
        <v>84.22</v>
      </c>
    </row>
    <row r="495" spans="16:20" x14ac:dyDescent="0.25">
      <c r="P495">
        <v>61.819961926164801</v>
      </c>
      <c r="Q495">
        <v>6</v>
      </c>
      <c r="R495">
        <v>88</v>
      </c>
      <c r="S495">
        <v>25</v>
      </c>
      <c r="T495">
        <v>74.209999999999994</v>
      </c>
    </row>
    <row r="496" spans="16:20" x14ac:dyDescent="0.25">
      <c r="P496" s="3">
        <v>40</v>
      </c>
      <c r="Q496" s="3">
        <v>7.8</v>
      </c>
      <c r="R496" s="3">
        <v>51</v>
      </c>
      <c r="S496" s="3">
        <v>11</v>
      </c>
      <c r="T496" s="3">
        <v>84.82</v>
      </c>
    </row>
    <row r="497" spans="16:20" x14ac:dyDescent="0.25">
      <c r="P497">
        <v>55.6259491857166</v>
      </c>
      <c r="Q497">
        <v>5.3</v>
      </c>
      <c r="R497">
        <v>84</v>
      </c>
      <c r="S497">
        <v>3</v>
      </c>
      <c r="T497">
        <v>90.49</v>
      </c>
    </row>
    <row r="498" spans="16:20" x14ac:dyDescent="0.25">
      <c r="P498" s="3">
        <v>41.644953653495598</v>
      </c>
      <c r="Q498" s="3">
        <v>8.6999999999999993</v>
      </c>
      <c r="R498" s="3">
        <v>52</v>
      </c>
      <c r="S498" s="3">
        <v>27</v>
      </c>
      <c r="T498" s="3">
        <v>68.7</v>
      </c>
    </row>
    <row r="499" spans="16:20" x14ac:dyDescent="0.25">
      <c r="P499">
        <v>57.304509117733303</v>
      </c>
      <c r="Q499">
        <v>6.9</v>
      </c>
      <c r="R499">
        <v>98</v>
      </c>
      <c r="S499">
        <v>16</v>
      </c>
      <c r="T499">
        <v>74.75</v>
      </c>
    </row>
    <row r="500" spans="16:20" x14ac:dyDescent="0.25">
      <c r="P500" s="3">
        <v>41.7387857274108</v>
      </c>
      <c r="Q500" s="3">
        <v>4.5</v>
      </c>
      <c r="R500" s="3">
        <v>46</v>
      </c>
      <c r="S500" s="3">
        <v>24</v>
      </c>
      <c r="T500" s="3">
        <v>72.31</v>
      </c>
    </row>
    <row r="501" spans="16:20" x14ac:dyDescent="0.25">
      <c r="P501">
        <v>53.146258693841702</v>
      </c>
      <c r="Q501">
        <v>6.5</v>
      </c>
      <c r="R501">
        <v>64</v>
      </c>
      <c r="S501">
        <v>23</v>
      </c>
      <c r="T501">
        <v>91.07</v>
      </c>
    </row>
    <row r="502" spans="16:20" x14ac:dyDescent="0.25">
      <c r="P502" s="3">
        <v>48.614089347837499</v>
      </c>
      <c r="Q502" s="3">
        <v>6.9</v>
      </c>
      <c r="R502" s="3">
        <v>66</v>
      </c>
      <c r="S502" s="3">
        <v>26</v>
      </c>
      <c r="T502" s="3">
        <v>97.75</v>
      </c>
    </row>
    <row r="503" spans="16:20" x14ac:dyDescent="0.25">
      <c r="P503">
        <v>50.347131217640097</v>
      </c>
      <c r="Q503">
        <v>8.8000000000000007</v>
      </c>
      <c r="R503">
        <v>75</v>
      </c>
      <c r="S503">
        <v>15</v>
      </c>
      <c r="T503">
        <v>79.86</v>
      </c>
    </row>
    <row r="504" spans="16:20" x14ac:dyDescent="0.25">
      <c r="P504" s="3">
        <v>50.2714801209016</v>
      </c>
      <c r="Q504" s="3">
        <v>8.6</v>
      </c>
      <c r="R504" s="3">
        <v>68</v>
      </c>
      <c r="S504" s="3">
        <v>26</v>
      </c>
      <c r="T504" s="3">
        <v>87.16</v>
      </c>
    </row>
    <row r="505" spans="16:20" x14ac:dyDescent="0.25">
      <c r="P505">
        <v>40</v>
      </c>
      <c r="Q505">
        <v>8.6999999999999993</v>
      </c>
      <c r="R505">
        <v>47</v>
      </c>
      <c r="S505">
        <v>14</v>
      </c>
      <c r="T505">
        <v>66.09</v>
      </c>
    </row>
    <row r="506" spans="16:20" x14ac:dyDescent="0.25">
      <c r="P506" s="3">
        <v>40</v>
      </c>
      <c r="Q506" s="3">
        <v>7.2</v>
      </c>
      <c r="R506" s="3">
        <v>55</v>
      </c>
      <c r="S506" s="3">
        <v>22</v>
      </c>
      <c r="T506" s="3">
        <v>69.599999999999994</v>
      </c>
    </row>
    <row r="507" spans="16:20" x14ac:dyDescent="0.25">
      <c r="P507">
        <v>60.189237845674</v>
      </c>
      <c r="Q507">
        <v>7.2</v>
      </c>
      <c r="R507">
        <v>87</v>
      </c>
      <c r="S507">
        <v>18</v>
      </c>
      <c r="T507">
        <v>78.459999999999994</v>
      </c>
    </row>
    <row r="508" spans="16:20" x14ac:dyDescent="0.25">
      <c r="P508" s="3">
        <v>62.544370053190598</v>
      </c>
      <c r="Q508" s="3">
        <v>7.4</v>
      </c>
      <c r="R508" s="3">
        <v>92</v>
      </c>
      <c r="S508" s="3">
        <v>12</v>
      </c>
      <c r="T508" s="3">
        <v>88.25</v>
      </c>
    </row>
    <row r="509" spans="16:20" x14ac:dyDescent="0.25">
      <c r="P509">
        <v>44.998025978478502</v>
      </c>
      <c r="Q509">
        <v>4.2</v>
      </c>
      <c r="R509">
        <v>81</v>
      </c>
      <c r="S509">
        <v>3</v>
      </c>
      <c r="T509">
        <v>87.41</v>
      </c>
    </row>
    <row r="510" spans="16:20" x14ac:dyDescent="0.25">
      <c r="P510" s="3">
        <v>58.453583549048602</v>
      </c>
      <c r="Q510" s="3">
        <v>5.3</v>
      </c>
      <c r="R510" s="3">
        <v>95</v>
      </c>
      <c r="S510" s="3">
        <v>22</v>
      </c>
      <c r="T510" s="3">
        <v>71.73</v>
      </c>
    </row>
    <row r="511" spans="16:20" x14ac:dyDescent="0.25">
      <c r="P511">
        <v>40</v>
      </c>
      <c r="Q511">
        <v>5.3</v>
      </c>
      <c r="R511">
        <v>61</v>
      </c>
      <c r="S511">
        <v>17</v>
      </c>
      <c r="T511">
        <v>69.650000000000006</v>
      </c>
    </row>
    <row r="512" spans="16:20" x14ac:dyDescent="0.25">
      <c r="P512" s="3">
        <v>47.522914539638798</v>
      </c>
      <c r="Q512" s="3">
        <v>7.9</v>
      </c>
      <c r="R512" s="3">
        <v>72</v>
      </c>
      <c r="S512" s="3">
        <v>3</v>
      </c>
      <c r="T512" s="3">
        <v>97.83</v>
      </c>
    </row>
    <row r="513" spans="16:20" x14ac:dyDescent="0.25">
      <c r="P513">
        <v>54.231828471448303</v>
      </c>
      <c r="Q513">
        <v>4.9000000000000004</v>
      </c>
      <c r="R513">
        <v>89</v>
      </c>
      <c r="S513">
        <v>21</v>
      </c>
      <c r="T513">
        <v>77.44</v>
      </c>
    </row>
    <row r="514" spans="16:20" x14ac:dyDescent="0.25">
      <c r="P514" s="3">
        <v>60.508049973054398</v>
      </c>
      <c r="Q514" s="3">
        <v>7.7</v>
      </c>
      <c r="R514" s="3">
        <v>87</v>
      </c>
      <c r="S514" s="3">
        <v>9</v>
      </c>
      <c r="T514" s="3">
        <v>81.12</v>
      </c>
    </row>
    <row r="515" spans="16:20" x14ac:dyDescent="0.25">
      <c r="P515">
        <v>43.945603361522203</v>
      </c>
      <c r="Q515">
        <v>6.1</v>
      </c>
      <c r="R515">
        <v>89</v>
      </c>
      <c r="S515">
        <v>5</v>
      </c>
      <c r="T515">
        <v>68.34</v>
      </c>
    </row>
    <row r="516" spans="16:20" x14ac:dyDescent="0.25">
      <c r="P516" s="3">
        <v>54.2620558622015</v>
      </c>
      <c r="Q516" s="3">
        <v>5.4</v>
      </c>
      <c r="R516" s="3">
        <v>93</v>
      </c>
      <c r="S516" s="3">
        <v>22</v>
      </c>
      <c r="T516" s="3">
        <v>96.86</v>
      </c>
    </row>
    <row r="517" spans="16:20" x14ac:dyDescent="0.25">
      <c r="P517">
        <v>53.538714937679998</v>
      </c>
      <c r="Q517">
        <v>8.5</v>
      </c>
      <c r="R517">
        <v>73</v>
      </c>
      <c r="S517">
        <v>28</v>
      </c>
      <c r="T517">
        <v>88.38</v>
      </c>
    </row>
    <row r="518" spans="16:20" x14ac:dyDescent="0.25">
      <c r="P518" s="3">
        <v>52.635258069848803</v>
      </c>
      <c r="Q518" s="3">
        <v>5.5</v>
      </c>
      <c r="R518" s="3">
        <v>72</v>
      </c>
      <c r="S518" s="3">
        <v>29</v>
      </c>
      <c r="T518" s="3">
        <v>82.85</v>
      </c>
    </row>
    <row r="519" spans="16:20" x14ac:dyDescent="0.25">
      <c r="P519">
        <v>56.657923194299997</v>
      </c>
      <c r="Q519">
        <v>7.9</v>
      </c>
      <c r="R519">
        <v>56</v>
      </c>
      <c r="S519">
        <v>28</v>
      </c>
      <c r="T519">
        <v>80.09</v>
      </c>
    </row>
    <row r="520" spans="16:20" x14ac:dyDescent="0.25">
      <c r="P520" s="3">
        <v>41.774873508081299</v>
      </c>
      <c r="Q520" s="3">
        <v>7.8</v>
      </c>
      <c r="R520" s="3">
        <v>61</v>
      </c>
      <c r="S520" s="3">
        <v>26</v>
      </c>
      <c r="T520" s="3">
        <v>66.8</v>
      </c>
    </row>
    <row r="521" spans="16:20" x14ac:dyDescent="0.25">
      <c r="P521">
        <v>46.789162610797902</v>
      </c>
      <c r="Q521">
        <v>5.9</v>
      </c>
      <c r="R521">
        <v>54</v>
      </c>
      <c r="S521">
        <v>11</v>
      </c>
      <c r="T521">
        <v>72.5</v>
      </c>
    </row>
    <row r="522" spans="16:20" x14ac:dyDescent="0.25">
      <c r="P522" s="3">
        <v>55.9282304693876</v>
      </c>
      <c r="Q522" s="3">
        <v>5.6</v>
      </c>
      <c r="R522" s="3">
        <v>68</v>
      </c>
      <c r="S522" s="3">
        <v>24</v>
      </c>
      <c r="T522" s="3">
        <v>94.96</v>
      </c>
    </row>
    <row r="523" spans="16:20" x14ac:dyDescent="0.25">
      <c r="P523">
        <v>49.932452482130202</v>
      </c>
      <c r="Q523">
        <v>4</v>
      </c>
      <c r="R523">
        <v>51</v>
      </c>
      <c r="S523">
        <v>13</v>
      </c>
      <c r="T523">
        <v>86.78</v>
      </c>
    </row>
    <row r="524" spans="16:20" x14ac:dyDescent="0.25">
      <c r="P524" s="3">
        <v>43.058966104541398</v>
      </c>
      <c r="Q524" s="3">
        <v>6.3</v>
      </c>
      <c r="R524" s="3">
        <v>63</v>
      </c>
      <c r="S524" s="3">
        <v>7</v>
      </c>
      <c r="T524" s="3">
        <v>71.790000000000006</v>
      </c>
    </row>
    <row r="525" spans="16:20" x14ac:dyDescent="0.25">
      <c r="P525">
        <v>45.873453402051702</v>
      </c>
      <c r="Q525">
        <v>4.9000000000000004</v>
      </c>
      <c r="R525">
        <v>90</v>
      </c>
      <c r="S525">
        <v>12</v>
      </c>
      <c r="T525">
        <v>71.62</v>
      </c>
    </row>
    <row r="526" spans="16:20" x14ac:dyDescent="0.25">
      <c r="P526" s="3">
        <v>51.128540695785503</v>
      </c>
      <c r="Q526" s="3">
        <v>4.0999999999999996</v>
      </c>
      <c r="R526" s="3">
        <v>82</v>
      </c>
      <c r="S526" s="3">
        <v>25</v>
      </c>
      <c r="T526" s="3">
        <v>77.25</v>
      </c>
    </row>
    <row r="527" spans="16:20" x14ac:dyDescent="0.25">
      <c r="P527">
        <v>56.249976422500801</v>
      </c>
      <c r="Q527">
        <v>7.1</v>
      </c>
      <c r="R527">
        <v>86</v>
      </c>
      <c r="S527">
        <v>6</v>
      </c>
      <c r="T527">
        <v>86.54</v>
      </c>
    </row>
    <row r="528" spans="16:20" x14ac:dyDescent="0.25">
      <c r="P528" s="3">
        <v>40</v>
      </c>
      <c r="Q528" s="3">
        <v>4.5999999999999996</v>
      </c>
      <c r="R528" s="3">
        <v>45</v>
      </c>
      <c r="S528" s="3">
        <v>26</v>
      </c>
      <c r="T528" s="3">
        <v>83.98</v>
      </c>
    </row>
    <row r="529" spans="16:20" x14ac:dyDescent="0.25">
      <c r="P529">
        <v>62.857850854449403</v>
      </c>
      <c r="Q529">
        <v>5.5</v>
      </c>
      <c r="R529">
        <v>66</v>
      </c>
      <c r="S529">
        <v>26</v>
      </c>
      <c r="T529">
        <v>83.45</v>
      </c>
    </row>
    <row r="530" spans="16:20" x14ac:dyDescent="0.25">
      <c r="P530" s="3">
        <v>40.649419162640498</v>
      </c>
      <c r="Q530" s="3">
        <v>7.6</v>
      </c>
      <c r="R530" s="3">
        <v>61</v>
      </c>
      <c r="S530" s="3">
        <v>21</v>
      </c>
      <c r="T530" s="3">
        <v>95.41</v>
      </c>
    </row>
    <row r="531" spans="16:20" x14ac:dyDescent="0.25">
      <c r="P531">
        <v>53.093800703050498</v>
      </c>
      <c r="Q531">
        <v>7.7</v>
      </c>
      <c r="R531">
        <v>81</v>
      </c>
      <c r="S531">
        <v>16</v>
      </c>
      <c r="T531">
        <v>95.14</v>
      </c>
    </row>
    <row r="532" spans="16:20" x14ac:dyDescent="0.25">
      <c r="P532" s="3">
        <v>57.879556899054201</v>
      </c>
      <c r="Q532" s="3">
        <v>8.8000000000000007</v>
      </c>
      <c r="R532" s="3">
        <v>81</v>
      </c>
      <c r="S532" s="3">
        <v>14</v>
      </c>
      <c r="T532" s="3">
        <v>94.58</v>
      </c>
    </row>
    <row r="533" spans="16:20" x14ac:dyDescent="0.25">
      <c r="P533">
        <v>57.4286565066188</v>
      </c>
      <c r="Q533">
        <v>8.5</v>
      </c>
      <c r="R533">
        <v>94</v>
      </c>
      <c r="S533">
        <v>6</v>
      </c>
      <c r="T533">
        <v>89.59</v>
      </c>
    </row>
    <row r="534" spans="16:20" x14ac:dyDescent="0.25">
      <c r="P534" s="3">
        <v>54.298676723463501</v>
      </c>
      <c r="Q534" s="3">
        <v>6.6</v>
      </c>
      <c r="R534" s="3">
        <v>97</v>
      </c>
      <c r="S534" s="3">
        <v>7</v>
      </c>
      <c r="T534" s="3">
        <v>78.739999999999995</v>
      </c>
    </row>
    <row r="535" spans="16:20" x14ac:dyDescent="0.25">
      <c r="P535">
        <v>67.736032040272207</v>
      </c>
      <c r="Q535">
        <v>8.6999999999999993</v>
      </c>
      <c r="R535">
        <v>96</v>
      </c>
      <c r="S535">
        <v>24</v>
      </c>
      <c r="T535">
        <v>74.430000000000007</v>
      </c>
    </row>
    <row r="536" spans="16:20" x14ac:dyDescent="0.25">
      <c r="P536" s="3">
        <v>54.677353430691902</v>
      </c>
      <c r="Q536" s="3">
        <v>5.7</v>
      </c>
      <c r="R536" s="3">
        <v>70</v>
      </c>
      <c r="S536" s="3">
        <v>22</v>
      </c>
      <c r="T536" s="3">
        <v>98.45</v>
      </c>
    </row>
    <row r="537" spans="16:20" x14ac:dyDescent="0.25">
      <c r="P537">
        <v>54.908603568920398</v>
      </c>
      <c r="Q537">
        <v>6.8</v>
      </c>
      <c r="R537">
        <v>89</v>
      </c>
      <c r="S537">
        <v>2</v>
      </c>
      <c r="T537">
        <v>66.58</v>
      </c>
    </row>
    <row r="538" spans="16:20" x14ac:dyDescent="0.25">
      <c r="P538" s="3">
        <v>52.337724405279097</v>
      </c>
      <c r="Q538" s="3">
        <v>6.7</v>
      </c>
      <c r="R538" s="3">
        <v>80</v>
      </c>
      <c r="S538" s="3">
        <v>17</v>
      </c>
      <c r="T538" s="3">
        <v>86.64</v>
      </c>
    </row>
    <row r="539" spans="16:20" x14ac:dyDescent="0.25">
      <c r="P539">
        <v>62.737729651041398</v>
      </c>
      <c r="Q539">
        <v>4.0999999999999996</v>
      </c>
      <c r="R539">
        <v>83</v>
      </c>
      <c r="S539">
        <v>18</v>
      </c>
      <c r="T539">
        <v>94.61</v>
      </c>
    </row>
    <row r="540" spans="16:20" x14ac:dyDescent="0.25">
      <c r="P540" s="3">
        <v>48.175694056127703</v>
      </c>
      <c r="Q540" s="3">
        <v>4.2</v>
      </c>
      <c r="R540" s="3">
        <v>60</v>
      </c>
      <c r="S540" s="3">
        <v>27</v>
      </c>
      <c r="T540" s="3">
        <v>74.52</v>
      </c>
    </row>
    <row r="541" spans="16:20" x14ac:dyDescent="0.25">
      <c r="P541">
        <v>40</v>
      </c>
      <c r="Q541">
        <v>5.2</v>
      </c>
      <c r="R541">
        <v>52</v>
      </c>
      <c r="S541">
        <v>2</v>
      </c>
      <c r="T541">
        <v>99.26</v>
      </c>
    </row>
    <row r="542" spans="16:20" x14ac:dyDescent="0.25">
      <c r="P542" s="3">
        <v>58.146849220519798</v>
      </c>
      <c r="Q542" s="3">
        <v>8.6999999999999993</v>
      </c>
      <c r="R542" s="3">
        <v>99</v>
      </c>
      <c r="S542" s="3">
        <v>18</v>
      </c>
      <c r="T542" s="3">
        <v>96.01</v>
      </c>
    </row>
    <row r="543" spans="16:20" x14ac:dyDescent="0.25">
      <c r="P543">
        <v>42.945210332475</v>
      </c>
      <c r="Q543">
        <v>8.5</v>
      </c>
      <c r="R543">
        <v>55</v>
      </c>
      <c r="S543">
        <v>3</v>
      </c>
      <c r="T543">
        <v>71.98</v>
      </c>
    </row>
    <row r="544" spans="16:20" x14ac:dyDescent="0.25">
      <c r="P544" s="3">
        <v>52.706359586369103</v>
      </c>
      <c r="Q544" s="3">
        <v>7.2</v>
      </c>
      <c r="R544" s="3">
        <v>78</v>
      </c>
      <c r="S544" s="3">
        <v>22</v>
      </c>
      <c r="T544" s="3">
        <v>74.459999999999994</v>
      </c>
    </row>
    <row r="545" spans="16:20" x14ac:dyDescent="0.25">
      <c r="P545">
        <v>54.1106585832351</v>
      </c>
      <c r="Q545">
        <v>4.3</v>
      </c>
      <c r="R545">
        <v>66</v>
      </c>
      <c r="S545">
        <v>9</v>
      </c>
      <c r="T545">
        <v>96.41</v>
      </c>
    </row>
    <row r="546" spans="16:20" x14ac:dyDescent="0.25">
      <c r="P546" s="3">
        <v>42.806483971434197</v>
      </c>
      <c r="Q546" s="3">
        <v>8.8000000000000007</v>
      </c>
      <c r="R546" s="3">
        <v>62</v>
      </c>
      <c r="S546" s="3">
        <v>2</v>
      </c>
      <c r="T546" s="3">
        <v>68.819999999999993</v>
      </c>
    </row>
    <row r="547" spans="16:20" x14ac:dyDescent="0.25">
      <c r="P547">
        <v>40</v>
      </c>
      <c r="Q547">
        <v>4.3</v>
      </c>
      <c r="R547">
        <v>59</v>
      </c>
      <c r="S547">
        <v>3</v>
      </c>
      <c r="T547">
        <v>71.599999999999994</v>
      </c>
    </row>
    <row r="548" spans="16:20" x14ac:dyDescent="0.25">
      <c r="P548" s="3">
        <v>40.311528183739199</v>
      </c>
      <c r="Q548" s="3">
        <v>6.5</v>
      </c>
      <c r="R548" s="3">
        <v>62</v>
      </c>
      <c r="S548" s="3">
        <v>14</v>
      </c>
      <c r="T548" s="3">
        <v>86.3</v>
      </c>
    </row>
    <row r="549" spans="16:20" x14ac:dyDescent="0.25">
      <c r="P549">
        <v>56.420819995386204</v>
      </c>
      <c r="Q549">
        <v>7.1</v>
      </c>
      <c r="R549">
        <v>96</v>
      </c>
      <c r="S549">
        <v>15</v>
      </c>
      <c r="T549">
        <v>70.150000000000006</v>
      </c>
    </row>
    <row r="550" spans="16:20" x14ac:dyDescent="0.25">
      <c r="P550" s="3">
        <v>55.456457228361202</v>
      </c>
      <c r="Q550" s="3">
        <v>7.5</v>
      </c>
      <c r="R550" s="3">
        <v>91</v>
      </c>
      <c r="S550" s="3">
        <v>4</v>
      </c>
      <c r="T550" s="3">
        <v>85.04</v>
      </c>
    </row>
    <row r="551" spans="16:20" x14ac:dyDescent="0.25">
      <c r="P551">
        <v>52.4498224538995</v>
      </c>
      <c r="Q551">
        <v>8.6</v>
      </c>
      <c r="R551">
        <v>77</v>
      </c>
      <c r="S551">
        <v>27</v>
      </c>
      <c r="T551">
        <v>85.14</v>
      </c>
    </row>
    <row r="552" spans="16:20" x14ac:dyDescent="0.25">
      <c r="P552" s="3">
        <v>46.629214572982697</v>
      </c>
      <c r="Q552" s="3">
        <v>5.7</v>
      </c>
      <c r="R552" s="3">
        <v>47</v>
      </c>
      <c r="S552" s="3">
        <v>27</v>
      </c>
      <c r="T552" s="3">
        <v>85.87</v>
      </c>
    </row>
    <row r="553" spans="16:20" x14ac:dyDescent="0.25">
      <c r="P553">
        <v>44.782718216464602</v>
      </c>
      <c r="Q553">
        <v>5.9</v>
      </c>
      <c r="R553">
        <v>59</v>
      </c>
      <c r="S553">
        <v>25</v>
      </c>
      <c r="T553">
        <v>73.77</v>
      </c>
    </row>
    <row r="554" spans="16:20" x14ac:dyDescent="0.25">
      <c r="P554" s="3">
        <v>43.264153392796899</v>
      </c>
      <c r="Q554" s="3">
        <v>6.7</v>
      </c>
      <c r="R554" s="3">
        <v>61</v>
      </c>
      <c r="S554" s="3">
        <v>13</v>
      </c>
      <c r="T554" s="3">
        <v>93.74</v>
      </c>
    </row>
    <row r="555" spans="16:20" x14ac:dyDescent="0.25">
      <c r="P555">
        <v>59.469180335592497</v>
      </c>
      <c r="Q555">
        <v>5.2</v>
      </c>
      <c r="R555">
        <v>81</v>
      </c>
      <c r="S555">
        <v>20</v>
      </c>
      <c r="T555">
        <v>98.97</v>
      </c>
    </row>
    <row r="556" spans="16:20" x14ac:dyDescent="0.25">
      <c r="P556" s="3">
        <v>40</v>
      </c>
      <c r="Q556" s="3">
        <v>6.7</v>
      </c>
      <c r="R556" s="3">
        <v>59</v>
      </c>
      <c r="S556" s="3">
        <v>10</v>
      </c>
      <c r="T556" s="3">
        <v>74.73</v>
      </c>
    </row>
    <row r="557" spans="16:20" x14ac:dyDescent="0.25">
      <c r="P557">
        <v>50.104302728168797</v>
      </c>
      <c r="Q557">
        <v>5.7</v>
      </c>
      <c r="R557">
        <v>92</v>
      </c>
      <c r="S557">
        <v>5</v>
      </c>
      <c r="T557">
        <v>95.29</v>
      </c>
    </row>
    <row r="558" spans="16:20" x14ac:dyDescent="0.25">
      <c r="P558" s="3">
        <v>49.513007154895298</v>
      </c>
      <c r="Q558" s="3">
        <v>8.6</v>
      </c>
      <c r="R558" s="3">
        <v>62</v>
      </c>
      <c r="S558" s="3">
        <v>6</v>
      </c>
      <c r="T558" s="3">
        <v>75.260000000000005</v>
      </c>
    </row>
    <row r="559" spans="16:20" x14ac:dyDescent="0.25">
      <c r="P559">
        <v>51.403458947314498</v>
      </c>
      <c r="Q559">
        <v>5.5</v>
      </c>
      <c r="R559">
        <v>98</v>
      </c>
      <c r="S559">
        <v>22</v>
      </c>
      <c r="T559">
        <v>77.209999999999994</v>
      </c>
    </row>
    <row r="560" spans="16:20" x14ac:dyDescent="0.25">
      <c r="P560" s="3">
        <v>40.810169530455603</v>
      </c>
      <c r="Q560" s="3">
        <v>7.2</v>
      </c>
      <c r="R560" s="3">
        <v>72</v>
      </c>
      <c r="S560" s="3">
        <v>6</v>
      </c>
      <c r="T560" s="3">
        <v>92.49</v>
      </c>
    </row>
    <row r="561" spans="16:20" x14ac:dyDescent="0.25">
      <c r="P561">
        <v>61.208767469251001</v>
      </c>
      <c r="Q561">
        <v>5.9</v>
      </c>
      <c r="R561">
        <v>98</v>
      </c>
      <c r="S561">
        <v>13</v>
      </c>
      <c r="T561">
        <v>69.81</v>
      </c>
    </row>
    <row r="562" spans="16:20" x14ac:dyDescent="0.25">
      <c r="P562" s="3">
        <v>50.949235712010797</v>
      </c>
      <c r="Q562" s="3">
        <v>8.9</v>
      </c>
      <c r="R562" s="3">
        <v>80</v>
      </c>
      <c r="S562" s="3">
        <v>14</v>
      </c>
      <c r="T562" s="3">
        <v>67.16</v>
      </c>
    </row>
    <row r="563" spans="16:20" x14ac:dyDescent="0.25">
      <c r="P563">
        <v>42.068831209419699</v>
      </c>
      <c r="Q563">
        <v>8.5</v>
      </c>
      <c r="R563">
        <v>64</v>
      </c>
      <c r="S563">
        <v>12</v>
      </c>
      <c r="T563">
        <v>78.53</v>
      </c>
    </row>
    <row r="564" spans="16:20" x14ac:dyDescent="0.25">
      <c r="P564" s="3">
        <v>66.711915167727099</v>
      </c>
      <c r="Q564" s="3">
        <v>5.6</v>
      </c>
      <c r="R564" s="3">
        <v>86</v>
      </c>
      <c r="S564" s="3">
        <v>29</v>
      </c>
      <c r="T564" s="3">
        <v>69.540000000000006</v>
      </c>
    </row>
    <row r="565" spans="16:20" x14ac:dyDescent="0.25">
      <c r="P565">
        <v>45.184162384295497</v>
      </c>
      <c r="Q565">
        <v>4</v>
      </c>
      <c r="R565">
        <v>63</v>
      </c>
      <c r="S565">
        <v>28</v>
      </c>
      <c r="T565">
        <v>67.78</v>
      </c>
    </row>
    <row r="566" spans="16:20" x14ac:dyDescent="0.25">
      <c r="P566" s="3">
        <v>58.659788283020397</v>
      </c>
      <c r="Q566" s="3">
        <v>5.5</v>
      </c>
      <c r="R566" s="3">
        <v>88</v>
      </c>
      <c r="S566" s="3">
        <v>23</v>
      </c>
      <c r="T566" s="3">
        <v>85.61</v>
      </c>
    </row>
    <row r="567" spans="16:20" x14ac:dyDescent="0.25">
      <c r="P567">
        <v>42.465785906001599</v>
      </c>
      <c r="Q567">
        <v>6.5</v>
      </c>
      <c r="R567">
        <v>53</v>
      </c>
      <c r="S567">
        <v>23</v>
      </c>
      <c r="T567">
        <v>71.44</v>
      </c>
    </row>
    <row r="568" spans="16:20" x14ac:dyDescent="0.25">
      <c r="P568" s="3">
        <v>40</v>
      </c>
      <c r="Q568" s="3">
        <v>5.7</v>
      </c>
      <c r="R568" s="3">
        <v>51</v>
      </c>
      <c r="S568" s="3">
        <v>4</v>
      </c>
      <c r="T568" s="3">
        <v>75.53</v>
      </c>
    </row>
    <row r="569" spans="16:20" x14ac:dyDescent="0.25">
      <c r="P569">
        <v>56.956605230140198</v>
      </c>
      <c r="Q569">
        <v>7.3</v>
      </c>
      <c r="R569">
        <v>72</v>
      </c>
      <c r="S569">
        <v>22</v>
      </c>
      <c r="T569">
        <v>90.52</v>
      </c>
    </row>
    <row r="570" spans="16:20" x14ac:dyDescent="0.25">
      <c r="P570" s="3">
        <v>61.6617898382475</v>
      </c>
      <c r="Q570" s="3">
        <v>5.7</v>
      </c>
      <c r="R570" s="3">
        <v>94</v>
      </c>
      <c r="S570" s="3">
        <v>12</v>
      </c>
      <c r="T570" s="3">
        <v>68.25</v>
      </c>
    </row>
    <row r="571" spans="16:20" x14ac:dyDescent="0.25">
      <c r="P571">
        <v>48.720231473866299</v>
      </c>
      <c r="Q571">
        <v>5.6</v>
      </c>
      <c r="R571">
        <v>56</v>
      </c>
      <c r="S571">
        <v>29</v>
      </c>
      <c r="T571">
        <v>99.79</v>
      </c>
    </row>
    <row r="572" spans="16:20" x14ac:dyDescent="0.25">
      <c r="P572" s="3">
        <v>45.132660470276299</v>
      </c>
      <c r="Q572" s="3">
        <v>8.5</v>
      </c>
      <c r="R572" s="3">
        <v>62</v>
      </c>
      <c r="S572" s="3">
        <v>18</v>
      </c>
      <c r="T572" s="3">
        <v>75.81</v>
      </c>
    </row>
    <row r="573" spans="16:20" x14ac:dyDescent="0.25">
      <c r="P573">
        <v>57.422006206133197</v>
      </c>
      <c r="Q573">
        <v>5.5</v>
      </c>
      <c r="R573">
        <v>97</v>
      </c>
      <c r="S573">
        <v>11</v>
      </c>
      <c r="T573">
        <v>84.1</v>
      </c>
    </row>
    <row r="574" spans="16:20" x14ac:dyDescent="0.25">
      <c r="P574" s="3">
        <v>52.697558322426197</v>
      </c>
      <c r="Q574" s="3">
        <v>7</v>
      </c>
      <c r="R574" s="3">
        <v>90</v>
      </c>
      <c r="S574" s="3">
        <v>16</v>
      </c>
      <c r="T574" s="3">
        <v>92.71</v>
      </c>
    </row>
    <row r="575" spans="16:20" x14ac:dyDescent="0.25">
      <c r="P575">
        <v>52.813825233874098</v>
      </c>
      <c r="Q575">
        <v>6.6</v>
      </c>
      <c r="R575">
        <v>86</v>
      </c>
      <c r="S575">
        <v>18</v>
      </c>
      <c r="T575">
        <v>73.3</v>
      </c>
    </row>
    <row r="576" spans="16:20" x14ac:dyDescent="0.25">
      <c r="P576" s="3">
        <v>57.351695195846702</v>
      </c>
      <c r="Q576" s="3">
        <v>5.3</v>
      </c>
      <c r="R576" s="3">
        <v>91</v>
      </c>
      <c r="S576" s="3">
        <v>13</v>
      </c>
      <c r="T576" s="3">
        <v>76.94</v>
      </c>
    </row>
    <row r="577" spans="16:20" x14ac:dyDescent="0.25">
      <c r="P577">
        <v>52.5169697202629</v>
      </c>
      <c r="Q577">
        <v>4.7</v>
      </c>
      <c r="R577">
        <v>90</v>
      </c>
      <c r="S577">
        <v>5</v>
      </c>
      <c r="T577">
        <v>72.22</v>
      </c>
    </row>
    <row r="578" spans="16:20" x14ac:dyDescent="0.25">
      <c r="P578" s="3">
        <v>52.790390818493897</v>
      </c>
      <c r="Q578" s="3">
        <v>5.8</v>
      </c>
      <c r="R578" s="3">
        <v>69</v>
      </c>
      <c r="S578" s="3">
        <v>8</v>
      </c>
      <c r="T578" s="3">
        <v>78.25</v>
      </c>
    </row>
    <row r="579" spans="16:20" x14ac:dyDescent="0.25">
      <c r="P579">
        <v>50.637436791310698</v>
      </c>
      <c r="Q579">
        <v>5.6</v>
      </c>
      <c r="R579">
        <v>60</v>
      </c>
      <c r="S579">
        <v>25</v>
      </c>
      <c r="T579">
        <v>90.72</v>
      </c>
    </row>
    <row r="580" spans="16:20" x14ac:dyDescent="0.25">
      <c r="P580" s="3">
        <v>47.246985300957498</v>
      </c>
      <c r="Q580" s="3">
        <v>5.8</v>
      </c>
      <c r="R580" s="3">
        <v>75</v>
      </c>
      <c r="S580" s="3">
        <v>14</v>
      </c>
      <c r="T580" s="3">
        <v>90</v>
      </c>
    </row>
    <row r="581" spans="16:20" x14ac:dyDescent="0.25">
      <c r="P581">
        <v>52.396229206344799</v>
      </c>
      <c r="Q581">
        <v>8.1</v>
      </c>
      <c r="R581">
        <v>83</v>
      </c>
      <c r="S581">
        <v>25</v>
      </c>
      <c r="T581">
        <v>71.37</v>
      </c>
    </row>
    <row r="582" spans="16:20" x14ac:dyDescent="0.25">
      <c r="P582" s="3">
        <v>55.5559533607506</v>
      </c>
      <c r="Q582" s="3">
        <v>6.7</v>
      </c>
      <c r="R582" s="3">
        <v>97</v>
      </c>
      <c r="S582" s="3">
        <v>15</v>
      </c>
      <c r="T582" s="3">
        <v>81.69</v>
      </c>
    </row>
    <row r="583" spans="16:20" x14ac:dyDescent="0.25">
      <c r="P583">
        <v>49.914025256946303</v>
      </c>
      <c r="Q583">
        <v>8.9</v>
      </c>
      <c r="R583">
        <v>69</v>
      </c>
      <c r="S583">
        <v>25</v>
      </c>
      <c r="T583">
        <v>89.09</v>
      </c>
    </row>
    <row r="584" spans="16:20" x14ac:dyDescent="0.25">
      <c r="P584" s="3">
        <v>46.626097613504498</v>
      </c>
      <c r="Q584" s="3">
        <v>5.5</v>
      </c>
      <c r="R584" s="3">
        <v>52</v>
      </c>
      <c r="S584" s="3">
        <v>27</v>
      </c>
      <c r="T584" s="3">
        <v>90.84</v>
      </c>
    </row>
    <row r="585" spans="16:20" x14ac:dyDescent="0.25">
      <c r="P585">
        <v>56.4637822529359</v>
      </c>
      <c r="Q585">
        <v>5.2</v>
      </c>
      <c r="R585">
        <v>79</v>
      </c>
      <c r="S585">
        <v>12</v>
      </c>
      <c r="T585">
        <v>87.26</v>
      </c>
    </row>
    <row r="586" spans="16:20" x14ac:dyDescent="0.25">
      <c r="P586" s="3">
        <v>45.883709301603602</v>
      </c>
      <c r="Q586" s="3">
        <v>4.2</v>
      </c>
      <c r="R586" s="3">
        <v>65</v>
      </c>
      <c r="S586" s="3">
        <v>4</v>
      </c>
      <c r="T586" s="3">
        <v>71.819999999999993</v>
      </c>
    </row>
    <row r="587" spans="16:20" x14ac:dyDescent="0.25">
      <c r="P587">
        <v>40.910958241870702</v>
      </c>
      <c r="Q587">
        <v>8.3000000000000007</v>
      </c>
      <c r="R587">
        <v>57</v>
      </c>
      <c r="S587">
        <v>12</v>
      </c>
      <c r="T587">
        <v>95.38</v>
      </c>
    </row>
    <row r="588" spans="16:20" x14ac:dyDescent="0.25">
      <c r="P588" s="3">
        <v>47.922181639638303</v>
      </c>
      <c r="Q588" s="3">
        <v>6.4</v>
      </c>
      <c r="R588" s="3">
        <v>65</v>
      </c>
      <c r="S588" s="3">
        <v>16</v>
      </c>
      <c r="T588" s="3">
        <v>75.099999999999994</v>
      </c>
    </row>
    <row r="589" spans="16:20" x14ac:dyDescent="0.25">
      <c r="P589">
        <v>56.9485839623039</v>
      </c>
      <c r="Q589">
        <v>5.5</v>
      </c>
      <c r="R589">
        <v>93</v>
      </c>
      <c r="S589">
        <v>15</v>
      </c>
      <c r="T589">
        <v>77.95</v>
      </c>
    </row>
    <row r="590" spans="16:20" x14ac:dyDescent="0.25">
      <c r="P590" s="3">
        <v>47.253879643878101</v>
      </c>
      <c r="Q590" s="3">
        <v>4.0999999999999996</v>
      </c>
      <c r="R590" s="3">
        <v>66</v>
      </c>
      <c r="S590" s="3">
        <v>19</v>
      </c>
      <c r="T590" s="3">
        <v>84.55</v>
      </c>
    </row>
    <row r="591" spans="16:20" x14ac:dyDescent="0.25">
      <c r="P591">
        <v>51.376385889613303</v>
      </c>
      <c r="Q591">
        <v>7.1</v>
      </c>
      <c r="R591">
        <v>84</v>
      </c>
      <c r="S591">
        <v>7</v>
      </c>
      <c r="T591">
        <v>95.08</v>
      </c>
    </row>
    <row r="592" spans="16:20" x14ac:dyDescent="0.25">
      <c r="P592" s="3">
        <v>40.169603550952701</v>
      </c>
      <c r="Q592" s="3">
        <v>5.5</v>
      </c>
      <c r="R592" s="3">
        <v>50</v>
      </c>
      <c r="S592" s="3">
        <v>21</v>
      </c>
      <c r="T592" s="3">
        <v>87.74</v>
      </c>
    </row>
    <row r="593" spans="16:20" x14ac:dyDescent="0.25">
      <c r="P593">
        <v>51.452852440268302</v>
      </c>
      <c r="Q593">
        <v>7.3</v>
      </c>
      <c r="R593">
        <v>89</v>
      </c>
      <c r="S593">
        <v>2</v>
      </c>
      <c r="T593">
        <v>89.56</v>
      </c>
    </row>
    <row r="594" spans="16:20" x14ac:dyDescent="0.25">
      <c r="P594" s="3">
        <v>61.131552892366997</v>
      </c>
      <c r="Q594" s="3">
        <v>4.5999999999999996</v>
      </c>
      <c r="R594" s="3">
        <v>90</v>
      </c>
      <c r="S594" s="3">
        <v>18</v>
      </c>
      <c r="T594" s="3">
        <v>72.569999999999993</v>
      </c>
    </row>
    <row r="595" spans="16:20" x14ac:dyDescent="0.25">
      <c r="P595">
        <v>61.970290692819098</v>
      </c>
      <c r="Q595">
        <v>6.6</v>
      </c>
      <c r="R595">
        <v>91</v>
      </c>
      <c r="S595">
        <v>18</v>
      </c>
      <c r="T595">
        <v>77.34</v>
      </c>
    </row>
    <row r="596" spans="16:20" x14ac:dyDescent="0.25">
      <c r="P596" s="3">
        <v>46.807005084727102</v>
      </c>
      <c r="Q596" s="3">
        <v>4.7</v>
      </c>
      <c r="R596" s="3">
        <v>65</v>
      </c>
      <c r="S596" s="3">
        <v>9</v>
      </c>
      <c r="T596" s="3">
        <v>69.790000000000006</v>
      </c>
    </row>
    <row r="597" spans="16:20" x14ac:dyDescent="0.25">
      <c r="P597">
        <v>40</v>
      </c>
      <c r="Q597">
        <v>7.3</v>
      </c>
      <c r="R597">
        <v>50</v>
      </c>
      <c r="S597">
        <v>19</v>
      </c>
      <c r="T597">
        <v>90.79</v>
      </c>
    </row>
    <row r="598" spans="16:20" x14ac:dyDescent="0.25">
      <c r="P598" s="3">
        <v>63.760029263941902</v>
      </c>
      <c r="Q598" s="3">
        <v>7.7</v>
      </c>
      <c r="R598" s="3">
        <v>85</v>
      </c>
      <c r="S598" s="3">
        <v>13</v>
      </c>
      <c r="T598" s="3">
        <v>98.21</v>
      </c>
    </row>
    <row r="599" spans="16:20" x14ac:dyDescent="0.25">
      <c r="P599">
        <v>59.262599776039103</v>
      </c>
      <c r="Q599">
        <v>8</v>
      </c>
      <c r="R599">
        <v>87</v>
      </c>
      <c r="S599">
        <v>16</v>
      </c>
      <c r="T599">
        <v>90.72</v>
      </c>
    </row>
    <row r="600" spans="16:20" x14ac:dyDescent="0.25">
      <c r="P600" s="3">
        <v>47.701561106777703</v>
      </c>
      <c r="Q600" s="3">
        <v>8</v>
      </c>
      <c r="R600" s="3">
        <v>70</v>
      </c>
      <c r="S600" s="3">
        <v>5</v>
      </c>
      <c r="T600" s="3">
        <v>69.36</v>
      </c>
    </row>
    <row r="601" spans="16:20" x14ac:dyDescent="0.25">
      <c r="P601" s="4">
        <v>40</v>
      </c>
      <c r="Q601" s="4">
        <v>8.4</v>
      </c>
      <c r="R601" s="4">
        <v>49</v>
      </c>
      <c r="S601" s="4">
        <v>5</v>
      </c>
      <c r="T601" s="4">
        <v>89.27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AA23F-8287-4F59-B004-C0A05CB83C6C}">
  <dimension ref="A1:E12"/>
  <sheetViews>
    <sheetView zoomScaleNormal="100" workbookViewId="0">
      <selection activeCell="B14" sqref="B14"/>
    </sheetView>
  </sheetViews>
  <sheetFormatPr defaultRowHeight="15" x14ac:dyDescent="0.25"/>
  <cols>
    <col min="1" max="1" width="16" bestFit="1" customWidth="1"/>
    <col min="2" max="2" width="20.7109375" bestFit="1" customWidth="1"/>
    <col min="3" max="3" width="14" customWidth="1"/>
  </cols>
  <sheetData>
    <row r="1" spans="1:5" x14ac:dyDescent="0.25">
      <c r="A1" t="s">
        <v>637</v>
      </c>
      <c r="B1" t="s">
        <v>638</v>
      </c>
      <c r="C1" t="s">
        <v>639</v>
      </c>
    </row>
    <row r="2" spans="1:5" x14ac:dyDescent="0.25">
      <c r="A2" t="s">
        <v>640</v>
      </c>
      <c r="B2" t="s">
        <v>641</v>
      </c>
      <c r="C2">
        <f>CORREL(Table2[Final_Exam_Score],Table2[Study_Hours_Per_Week])</f>
        <v>0.3127024445269887</v>
      </c>
    </row>
    <row r="3" spans="1:5" x14ac:dyDescent="0.25">
      <c r="A3" t="s">
        <v>640</v>
      </c>
      <c r="B3" t="s">
        <v>642</v>
      </c>
      <c r="C3">
        <f>CORREL(Table2[Final_Exam_Score],Table2[Attendance_Rate])</f>
        <v>0.27752604042759704</v>
      </c>
    </row>
    <row r="4" spans="1:5" x14ac:dyDescent="0.25">
      <c r="A4" t="s">
        <v>640</v>
      </c>
      <c r="B4" t="s">
        <v>643</v>
      </c>
      <c r="C4">
        <f>CORREL(Table2[Final_Exam_Score],Table2[Previous_Grade])</f>
        <v>0.74206066908117196</v>
      </c>
    </row>
    <row r="5" spans="1:5" x14ac:dyDescent="0.25">
      <c r="A5" t="s">
        <v>640</v>
      </c>
      <c r="B5" t="s">
        <v>644</v>
      </c>
      <c r="C5">
        <f>CORREL(Table2[Final_Exam_Score],Table2[Sleep_Hours_Per_Night])</f>
        <v>-6.987729796033757E-3</v>
      </c>
    </row>
    <row r="6" spans="1:5" x14ac:dyDescent="0.25">
      <c r="A6" t="s">
        <v>645</v>
      </c>
      <c r="B6" t="s">
        <v>642</v>
      </c>
      <c r="C6">
        <f>CORREL(Table2[Study_Hours_Per_Week],Table2[Attendance_Rate])</f>
        <v>4.905044371054789E-2</v>
      </c>
      <c r="E6" t="s">
        <v>646</v>
      </c>
    </row>
    <row r="7" spans="1:5" x14ac:dyDescent="0.25">
      <c r="A7" t="s">
        <v>645</v>
      </c>
      <c r="B7" t="s">
        <v>644</v>
      </c>
      <c r="C7">
        <f>CORREL(Table2[Study_Hours_Per_Week],Table2[Sleep_Hours_Per_Night])</f>
        <v>-6.696934915218028E-3</v>
      </c>
      <c r="E7" t="s">
        <v>647</v>
      </c>
    </row>
    <row r="8" spans="1:5" x14ac:dyDescent="0.25">
      <c r="E8" t="s">
        <v>648</v>
      </c>
    </row>
    <row r="10" spans="1:5" x14ac:dyDescent="0.25">
      <c r="D10" t="s">
        <v>649</v>
      </c>
      <c r="E10" t="s">
        <v>650</v>
      </c>
    </row>
    <row r="11" spans="1:5" x14ac:dyDescent="0.25">
      <c r="D11" t="s">
        <v>651</v>
      </c>
      <c r="E11" t="s">
        <v>652</v>
      </c>
    </row>
    <row r="12" spans="1:5" x14ac:dyDescent="0.25">
      <c r="D12" t="s">
        <v>653</v>
      </c>
      <c r="E12" t="s">
        <v>654</v>
      </c>
    </row>
  </sheetData>
  <pageMargins left="0.7" right="0.7" top="0.75" bottom="0.75" header="0.3" footer="0.3"/>
  <pageSetup orientation="portrait" horizontalDpi="4294967295" verticalDpi="4294967295" r:id="rId1"/>
  <headerFooter>
    <oddHeader>&amp;C&amp;"-,Bold"&amp;14CORRECTION ANALYSIS</oddHead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C6C43-3A7D-4F44-B966-BE1E7EF0ADB0}">
  <dimension ref="A1:G6"/>
  <sheetViews>
    <sheetView view="pageLayout" zoomScaleNormal="100" workbookViewId="0">
      <selection activeCell="E4" sqref="E4"/>
    </sheetView>
  </sheetViews>
  <sheetFormatPr defaultRowHeight="15" x14ac:dyDescent="0.25"/>
  <cols>
    <col min="1" max="1" width="16.28515625" bestFit="1" customWidth="1"/>
    <col min="4" max="4" width="10.28515625" customWidth="1"/>
    <col min="5" max="5" width="20.42578125" customWidth="1"/>
  </cols>
  <sheetData>
    <row r="1" spans="1:7" x14ac:dyDescent="0.25">
      <c r="A1" t="s">
        <v>630</v>
      </c>
      <c r="B1" t="s">
        <v>629</v>
      </c>
      <c r="C1" t="s">
        <v>624</v>
      </c>
      <c r="D1" t="s">
        <v>625</v>
      </c>
      <c r="E1" t="s">
        <v>626</v>
      </c>
      <c r="F1" t="s">
        <v>627</v>
      </c>
      <c r="G1" t="s">
        <v>628</v>
      </c>
    </row>
    <row r="2" spans="1:7" x14ac:dyDescent="0.25">
      <c r="A2" t="s">
        <v>631</v>
      </c>
      <c r="B2">
        <f>COUNT(Table2[Previous_Grade])</f>
        <v>600</v>
      </c>
      <c r="C2">
        <f>AVERAGE(Student_Performance_Statistical!I581:I601)</f>
        <v>73.142857142857139</v>
      </c>
      <c r="D2">
        <f>MEDIAN(Student_Performance_Statistical!I586:I601)</f>
        <v>68</v>
      </c>
      <c r="E2">
        <f>_xlfn.STDEV.S(Table2[Previous_Grade])</f>
        <v>15.979220559998046</v>
      </c>
      <c r="F2">
        <f>MIN(Student_Performance_Statistical!I586:I601)</f>
        <v>49</v>
      </c>
      <c r="G2">
        <f>MAX(Student_Performance_Statistical!I586:I601)</f>
        <v>93</v>
      </c>
    </row>
    <row r="3" spans="1:7" x14ac:dyDescent="0.25">
      <c r="A3" t="s">
        <v>634</v>
      </c>
      <c r="B3">
        <f>COUNT(Table2[Final_Exam_Score])</f>
        <v>600</v>
      </c>
      <c r="C3">
        <f>AVERAGE(Student_Performance_Statistical!K581:K601)</f>
        <v>50.643203865584901</v>
      </c>
      <c r="D3">
        <f>MEDIAN(Student_Performance_Statistical!K586:K601)</f>
        <v>47.811871373208007</v>
      </c>
      <c r="E3">
        <f>_xlfn.STDEV.S(Student_Performance_Statistical!K581:K601)</f>
        <v>7.4136461362478974</v>
      </c>
      <c r="F3">
        <f>MIN(Student_Performance_Statistical!K586:K601)</f>
        <v>40</v>
      </c>
      <c r="G3">
        <f>MAX(Student_Performance_Statistical!K586:K601)</f>
        <v>63.760029263941902</v>
      </c>
    </row>
    <row r="4" spans="1:7" x14ac:dyDescent="0.25">
      <c r="A4" t="s">
        <v>633</v>
      </c>
      <c r="B4">
        <f>COUNT(Table2[Attendance_Rate])</f>
        <v>600</v>
      </c>
      <c r="C4">
        <f>AVERAGE(Student_Performance_Statistical!E581:E601)</f>
        <v>83.594285714285704</v>
      </c>
      <c r="D4">
        <f>MEDIAN(Student_Performance_Statistical!E586:E601)</f>
        <v>86.144999999999996</v>
      </c>
      <c r="E4">
        <f>_xlfn.STDEV.S(Student_Performance_Statistical!E581:E601)</f>
        <v>9.2697645986448105</v>
      </c>
      <c r="F4">
        <f>MIN(Table2[Attendance_Rate])</f>
        <v>65</v>
      </c>
      <c r="G4">
        <f>MAX(Student_Performance_Statistical!E586:E601)</f>
        <v>98.21</v>
      </c>
    </row>
    <row r="5" spans="1:7" x14ac:dyDescent="0.25">
      <c r="A5" t="s">
        <v>635</v>
      </c>
      <c r="B5">
        <f>COUNT(Student_Performance_Statistical!J581:J601)</f>
        <v>21</v>
      </c>
      <c r="C5">
        <f>AVERAGE(Student_Performance_Statistical!J586:J601)</f>
        <v>6.4812500000000002</v>
      </c>
      <c r="D5">
        <f>MEDIAN(Student_Performance_Statistical!J586:J601)</f>
        <v>6.85</v>
      </c>
      <c r="E5">
        <f>_xlfn.STDEV.S(Student_Performance_Statistical!J581:J601)</f>
        <v>1.5046277818466456</v>
      </c>
      <c r="F5">
        <f>MIN(Student_Performance_Statistical!J586:J601)</f>
        <v>4.0999999999999996</v>
      </c>
      <c r="G5">
        <f>MAX(Student_Performance_Statistical!J586:J601)</f>
        <v>8.4</v>
      </c>
    </row>
    <row r="6" spans="1:7" x14ac:dyDescent="0.25">
      <c r="A6" t="s">
        <v>632</v>
      </c>
      <c r="B6">
        <f>COUNT(Student_Performance_Statistical!D581:D601)</f>
        <v>21</v>
      </c>
      <c r="C6">
        <f>AVERAGE(Student_Performance_Statistical!D586:D601)</f>
        <v>12.4375</v>
      </c>
      <c r="D6">
        <f>AVERAGE(Student_Performance_Statistical!D586:D601)</f>
        <v>12.4375</v>
      </c>
      <c r="E6">
        <f>_xlfn.STDEV.S(Student_Performance_Statistical!D581:D601)</f>
        <v>7.2011903777877482</v>
      </c>
      <c r="F6">
        <f>MIN(Student_Performance_Statistical!D586:D601)</f>
        <v>2</v>
      </c>
      <c r="G6">
        <f>MAX(Student_Performance_Statistical!D586:D601)</f>
        <v>21</v>
      </c>
    </row>
  </sheetData>
  <pageMargins left="0.7" right="0.7" top="0.75" bottom="0.75" header="0.3" footer="0.3"/>
  <pageSetup orientation="portrait" horizontalDpi="4294967295" verticalDpi="4294967295" r:id="rId1"/>
  <headerFooter>
    <oddHeader xml:space="preserve">&amp;C&amp;"Arial Black,Regular"DESCRIPTIVE STATISTICAL SUMMARY OF STUDENT PERFORMANCE DATASET  </oddHead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Student_Performance_Statistical</vt:lpstr>
      <vt:lpstr>T- test</vt:lpstr>
      <vt:lpstr>ANOVA</vt:lpstr>
      <vt:lpstr>Regression analysis</vt:lpstr>
      <vt:lpstr>Sheet2</vt:lpstr>
      <vt:lpstr>Correction analysis=</vt:lpstr>
      <vt:lpstr>Descriptive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2026-02-25T19:26:58Z</dcterms:created>
  <dcterms:modified xsi:type="dcterms:W3CDTF">2026-03-07T20:44:43Z</dcterms:modified>
</cp:coreProperties>
</file>